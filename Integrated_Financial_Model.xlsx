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b745e6048520b0/Documents/Financial Modeling -excel/"/>
    </mc:Choice>
  </mc:AlternateContent>
  <xr:revisionPtr revIDLastSave="15" documentId="8_{B08E991B-60BF-459E-B075-2AF466910775}" xr6:coauthVersionLast="47" xr6:coauthVersionMax="47" xr10:uidLastSave="{20CA738D-47E4-472B-9F27-9482D14D399B}"/>
  <bookViews>
    <workbookView xWindow="-108" yWindow="-108" windowWidth="23256" windowHeight="12456" tabRatio="849" activeTab="3" xr2:uid="{00000000-000D-0000-FFFF-FFFF00000000}"/>
  </bookViews>
  <sheets>
    <sheet name="Income Statement" sheetId="1" r:id="rId1"/>
    <sheet name="Balance Sheet" sheetId="2" r:id="rId2"/>
    <sheet name="Assumptions" sheetId="12" r:id="rId3"/>
    <sheet name="Final Model" sheetId="11" r:id="rId4"/>
  </sheets>
  <definedNames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40218.8268634259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_xlnm.Print_Area" localSheetId="1">'Balance Sheet'!$A$1:$C$41</definedName>
    <definedName name="_xlnm.Print_Area" localSheetId="3">'Final Model'!$A$1:$H$138</definedName>
    <definedName name="_xlnm.Print_Area" localSheetId="0">'Income Statement'!$A$1:$C$33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1" l="1"/>
  <c r="E5" i="11" s="1"/>
  <c r="F5" i="11" s="1"/>
  <c r="G5" i="11" s="1"/>
  <c r="H5" i="11" s="1"/>
  <c r="C5" i="11"/>
  <c r="E90" i="11"/>
  <c r="E91" i="11" s="1"/>
  <c r="F90" i="11"/>
  <c r="F91" i="11" s="1"/>
  <c r="G90" i="11"/>
  <c r="G91" i="11" s="1"/>
  <c r="H90" i="11"/>
  <c r="H91" i="11" s="1"/>
  <c r="D90" i="11"/>
  <c r="D91" i="11" s="1"/>
  <c r="E45" i="11"/>
  <c r="F45" i="11"/>
  <c r="G45" i="11"/>
  <c r="H45" i="11"/>
  <c r="D45" i="11"/>
  <c r="B45" i="11"/>
  <c r="C45" i="11"/>
  <c r="E95" i="11"/>
  <c r="F95" i="11"/>
  <c r="G95" i="11"/>
  <c r="H95" i="11"/>
  <c r="D95" i="11"/>
  <c r="E79" i="11"/>
  <c r="F79" i="11"/>
  <c r="G79" i="11"/>
  <c r="H79" i="11"/>
  <c r="D79" i="11"/>
  <c r="E31" i="11"/>
  <c r="F31" i="11"/>
  <c r="G31" i="11"/>
  <c r="H31" i="11"/>
  <c r="D31" i="11"/>
  <c r="E136" i="11"/>
  <c r="F136" i="11"/>
  <c r="G136" i="11"/>
  <c r="H136" i="11"/>
  <c r="D136" i="11"/>
  <c r="F133" i="11"/>
  <c r="G133" i="11"/>
  <c r="H133" i="11"/>
  <c r="E133" i="11"/>
  <c r="E135" i="11"/>
  <c r="C136" i="11"/>
  <c r="B136" i="11"/>
  <c r="D132" i="11"/>
  <c r="G110" i="11"/>
  <c r="D110" i="11"/>
  <c r="E56" i="11"/>
  <c r="F56" i="11"/>
  <c r="G56" i="11"/>
  <c r="H56" i="11"/>
  <c r="D56" i="11"/>
  <c r="E52" i="11"/>
  <c r="F52" i="11"/>
  <c r="G52" i="11"/>
  <c r="H52" i="11"/>
  <c r="D52" i="11"/>
  <c r="E125" i="11"/>
  <c r="F125" i="11"/>
  <c r="G125" i="11"/>
  <c r="H125" i="11"/>
  <c r="D125" i="11"/>
  <c r="E117" i="11"/>
  <c r="F117" i="11"/>
  <c r="G117" i="11" s="1"/>
  <c r="H117" i="11" s="1"/>
  <c r="D117" i="11"/>
  <c r="E118" i="11"/>
  <c r="F118" i="11" s="1"/>
  <c r="G118" i="11" s="1"/>
  <c r="H118" i="11" s="1"/>
  <c r="D118" i="11"/>
  <c r="C117" i="11"/>
  <c r="C118" i="11"/>
  <c r="B118" i="11"/>
  <c r="B117" i="11"/>
  <c r="E110" i="11"/>
  <c r="F110" i="11"/>
  <c r="H110" i="11"/>
  <c r="D108" i="11"/>
  <c r="C113" i="11"/>
  <c r="B113" i="11"/>
  <c r="D99" i="11"/>
  <c r="E83" i="11"/>
  <c r="F83" i="11"/>
  <c r="G83" i="11"/>
  <c r="H83" i="11"/>
  <c r="E84" i="11"/>
  <c r="F84" i="11"/>
  <c r="G84" i="11"/>
  <c r="H84" i="11"/>
  <c r="E85" i="11"/>
  <c r="F85" i="11"/>
  <c r="G85" i="11"/>
  <c r="H85" i="11"/>
  <c r="D85" i="11"/>
  <c r="D84" i="11"/>
  <c r="D83" i="11"/>
  <c r="B61" i="11"/>
  <c r="C61" i="11"/>
  <c r="D61" i="11" s="1"/>
  <c r="E61" i="11" s="1"/>
  <c r="F61" i="11" s="1"/>
  <c r="G61" i="11" s="1"/>
  <c r="H61" i="11" s="1"/>
  <c r="B62" i="11"/>
  <c r="C62" i="11"/>
  <c r="C60" i="11"/>
  <c r="B60" i="11"/>
  <c r="B63" i="11" s="1"/>
  <c r="C56" i="11"/>
  <c r="B56" i="11"/>
  <c r="B51" i="11"/>
  <c r="C51" i="11"/>
  <c r="B52" i="11"/>
  <c r="C52" i="11"/>
  <c r="C50" i="11"/>
  <c r="B50" i="11"/>
  <c r="B39" i="11"/>
  <c r="C39" i="11"/>
  <c r="B40" i="11"/>
  <c r="C40" i="11"/>
  <c r="B41" i="11"/>
  <c r="C41" i="11"/>
  <c r="D41" i="11" s="1"/>
  <c r="E41" i="11" s="1"/>
  <c r="F41" i="11" s="1"/>
  <c r="C38" i="11"/>
  <c r="B38" i="11"/>
  <c r="C32" i="11"/>
  <c r="B32" i="11"/>
  <c r="C31" i="11"/>
  <c r="B31" i="11"/>
  <c r="C21" i="11"/>
  <c r="B21" i="11"/>
  <c r="C7" i="11"/>
  <c r="C10" i="11"/>
  <c r="C11" i="11" s="1"/>
  <c r="C16" i="11"/>
  <c r="C17" i="11" s="1"/>
  <c r="C25" i="11"/>
  <c r="B25" i="11"/>
  <c r="B16" i="11"/>
  <c r="B10" i="11"/>
  <c r="B7" i="11"/>
  <c r="B13" i="11" s="1"/>
  <c r="D135" i="11" l="1"/>
  <c r="D138" i="11" s="1"/>
  <c r="F135" i="11"/>
  <c r="G135" i="11"/>
  <c r="H135" i="11"/>
  <c r="B69" i="11"/>
  <c r="C69" i="11"/>
  <c r="C70" i="11"/>
  <c r="B42" i="11"/>
  <c r="B47" i="11" s="1"/>
  <c r="B17" i="11"/>
  <c r="B70" i="11"/>
  <c r="B11" i="11"/>
  <c r="C63" i="11"/>
  <c r="D60" i="11"/>
  <c r="E60" i="11" s="1"/>
  <c r="F60" i="11" s="1"/>
  <c r="G60" i="11" s="1"/>
  <c r="H60" i="11" s="1"/>
  <c r="C71" i="11"/>
  <c r="C53" i="11"/>
  <c r="C58" i="11" s="1"/>
  <c r="B53" i="11"/>
  <c r="B58" i="11" s="1"/>
  <c r="B65" i="11" s="1"/>
  <c r="B71" i="11"/>
  <c r="E69" i="11"/>
  <c r="H69" i="11"/>
  <c r="G69" i="11"/>
  <c r="F69" i="11"/>
  <c r="D69" i="11"/>
  <c r="F70" i="11"/>
  <c r="H70" i="11"/>
  <c r="G70" i="11"/>
  <c r="E70" i="11"/>
  <c r="D70" i="11"/>
  <c r="C42" i="11"/>
  <c r="C47" i="11" s="1"/>
  <c r="D7" i="11"/>
  <c r="C13" i="11"/>
  <c r="C8" i="11"/>
  <c r="H17" i="11"/>
  <c r="F17" i="11"/>
  <c r="E17" i="11"/>
  <c r="G17" i="11"/>
  <c r="D17" i="11"/>
  <c r="D11" i="11"/>
  <c r="E11" i="11"/>
  <c r="G11" i="11"/>
  <c r="H11" i="11"/>
  <c r="F11" i="11"/>
  <c r="B19" i="11"/>
  <c r="B14" i="11"/>
  <c r="G41" i="11"/>
  <c r="H106" i="11"/>
  <c r="H130" i="11" s="1"/>
  <c r="G106" i="11"/>
  <c r="G130" i="11" s="1"/>
  <c r="F106" i="11"/>
  <c r="F130" i="11" s="1"/>
  <c r="E106" i="11"/>
  <c r="E130" i="11" s="1"/>
  <c r="D106" i="11"/>
  <c r="D130" i="11" s="1"/>
  <c r="C106" i="11"/>
  <c r="C130" i="11" s="1"/>
  <c r="A103" i="11"/>
  <c r="H35" i="11"/>
  <c r="H73" i="11" s="1"/>
  <c r="G35" i="11"/>
  <c r="G73" i="11" s="1"/>
  <c r="F35" i="11"/>
  <c r="F73" i="11" s="1"/>
  <c r="E35" i="11"/>
  <c r="E73" i="11" s="1"/>
  <c r="D35" i="11"/>
  <c r="D73" i="11" s="1"/>
  <c r="C35" i="11"/>
  <c r="C73" i="11" s="1"/>
  <c r="B5" i="11"/>
  <c r="B66" i="11" l="1"/>
  <c r="E132" i="11"/>
  <c r="E138" i="11" s="1"/>
  <c r="D71" i="11"/>
  <c r="H71" i="11"/>
  <c r="F71" i="11"/>
  <c r="G71" i="11"/>
  <c r="E71" i="11"/>
  <c r="D16" i="11"/>
  <c r="D39" i="11"/>
  <c r="E7" i="11"/>
  <c r="D10" i="11"/>
  <c r="C19" i="11"/>
  <c r="C14" i="11"/>
  <c r="B23" i="11"/>
  <c r="B28" i="11" s="1"/>
  <c r="B30" i="11"/>
  <c r="B33" i="11" s="1"/>
  <c r="C65" i="11"/>
  <c r="C66" i="11" s="1"/>
  <c r="H41" i="11"/>
  <c r="B106" i="11"/>
  <c r="B130" i="11" s="1"/>
  <c r="B35" i="11"/>
  <c r="B73" i="11" s="1"/>
  <c r="F132" i="11" l="1"/>
  <c r="F138" i="11" s="1"/>
  <c r="D40" i="11"/>
  <c r="D13" i="11"/>
  <c r="E16" i="11"/>
  <c r="E39" i="11"/>
  <c r="E10" i="11"/>
  <c r="E13" i="11" s="1"/>
  <c r="F7" i="11"/>
  <c r="D14" i="11"/>
  <c r="D19" i="11"/>
  <c r="D30" i="11" s="1"/>
  <c r="D33" i="11" s="1"/>
  <c r="C30" i="11"/>
  <c r="C33" i="11" s="1"/>
  <c r="C23" i="11"/>
  <c r="C28" i="11" s="1"/>
  <c r="D50" i="11"/>
  <c r="G132" i="11" l="1"/>
  <c r="G138" i="11" s="1"/>
  <c r="E50" i="11"/>
  <c r="E40" i="11"/>
  <c r="E14" i="11"/>
  <c r="E19" i="11"/>
  <c r="E30" i="11" s="1"/>
  <c r="E33" i="11" s="1"/>
  <c r="F16" i="11"/>
  <c r="F39" i="11"/>
  <c r="F10" i="11"/>
  <c r="F13" i="11" s="1"/>
  <c r="G7" i="11"/>
  <c r="C17" i="1"/>
  <c r="B17" i="1"/>
  <c r="H132" i="11" l="1"/>
  <c r="H138" i="11" s="1"/>
  <c r="F14" i="11"/>
  <c r="F19" i="11"/>
  <c r="F30" i="11" s="1"/>
  <c r="F50" i="11"/>
  <c r="F40" i="11"/>
  <c r="G39" i="11"/>
  <c r="G16" i="11"/>
  <c r="G10" i="11"/>
  <c r="G13" i="11" s="1"/>
  <c r="H7" i="11"/>
  <c r="B38" i="2"/>
  <c r="G50" i="11" l="1"/>
  <c r="G40" i="11"/>
  <c r="G19" i="11"/>
  <c r="G30" i="11" s="1"/>
  <c r="G14" i="11"/>
  <c r="H39" i="11"/>
  <c r="H16" i="11"/>
  <c r="H10" i="11"/>
  <c r="H13" i="11" s="1"/>
  <c r="F33" i="11"/>
  <c r="H14" i="11" l="1"/>
  <c r="H19" i="11"/>
  <c r="H30" i="11" s="1"/>
  <c r="H33" i="11" s="1"/>
  <c r="H50" i="11"/>
  <c r="H40" i="11"/>
  <c r="G33" i="11"/>
  <c r="C5" i="2" l="1"/>
  <c r="B5" i="2"/>
  <c r="B27" i="2" l="1"/>
  <c r="B32" i="2" s="1"/>
  <c r="B14" i="2"/>
  <c r="B19" i="2" s="1"/>
  <c r="C13" i="1"/>
  <c r="C19" i="1" s="1"/>
  <c r="C30" i="1" s="1"/>
  <c r="B13" i="1"/>
  <c r="B19" i="1" s="1"/>
  <c r="C11" i="1"/>
  <c r="B11" i="1"/>
  <c r="C8" i="1"/>
  <c r="B23" i="1" l="1"/>
  <c r="B30" i="1"/>
  <c r="B33" i="1"/>
  <c r="C14" i="1"/>
  <c r="B14" i="1"/>
  <c r="B28" i="1" l="1"/>
  <c r="B40" i="2" l="1"/>
  <c r="B41" i="2" s="1"/>
  <c r="C33" i="1" l="1"/>
  <c r="C23" i="1" l="1"/>
  <c r="C28" i="1" s="1"/>
  <c r="C14" i="2"/>
  <c r="C19" i="2"/>
  <c r="C27" i="2"/>
  <c r="C32" i="2" s="1"/>
  <c r="C40" i="2" s="1"/>
  <c r="C41" i="2" s="1"/>
  <c r="C38" i="2"/>
  <c r="D21" i="11" l="1"/>
  <c r="E21" i="11"/>
  <c r="F21" i="11"/>
  <c r="G21" i="11"/>
  <c r="H21" i="11"/>
  <c r="D23" i="11"/>
  <c r="E23" i="11"/>
  <c r="F23" i="11"/>
  <c r="G23" i="11"/>
  <c r="H23" i="11"/>
  <c r="D25" i="11"/>
  <c r="E25" i="11"/>
  <c r="F25" i="11"/>
  <c r="G25" i="11"/>
  <c r="H25" i="11"/>
  <c r="D28" i="11"/>
  <c r="E28" i="11"/>
  <c r="F28" i="11"/>
  <c r="G28" i="11"/>
  <c r="H28" i="11"/>
  <c r="D38" i="11"/>
  <c r="E38" i="11"/>
  <c r="F38" i="11"/>
  <c r="G38" i="11"/>
  <c r="H38" i="11"/>
  <c r="D42" i="11"/>
  <c r="E42" i="11"/>
  <c r="F42" i="11"/>
  <c r="G42" i="11"/>
  <c r="H42" i="11"/>
  <c r="D47" i="11"/>
  <c r="E47" i="11"/>
  <c r="F47" i="11"/>
  <c r="G47" i="11"/>
  <c r="H47" i="11"/>
  <c r="D51" i="11"/>
  <c r="E51" i="11"/>
  <c r="F51" i="11"/>
  <c r="G51" i="11"/>
  <c r="H51" i="11"/>
  <c r="D53" i="11"/>
  <c r="E53" i="11"/>
  <c r="F53" i="11"/>
  <c r="G53" i="11"/>
  <c r="H53" i="11"/>
  <c r="D58" i="11"/>
  <c r="E58" i="11"/>
  <c r="F58" i="11"/>
  <c r="G58" i="11"/>
  <c r="H58" i="11"/>
  <c r="D62" i="11"/>
  <c r="E62" i="11"/>
  <c r="F62" i="11"/>
  <c r="G62" i="11"/>
  <c r="H62" i="11"/>
  <c r="D63" i="11"/>
  <c r="E63" i="11"/>
  <c r="F63" i="11"/>
  <c r="G63" i="11"/>
  <c r="H63" i="11"/>
  <c r="D65" i="11"/>
  <c r="E65" i="11"/>
  <c r="F65" i="11"/>
  <c r="G65" i="11"/>
  <c r="H65" i="11"/>
  <c r="D66" i="11"/>
  <c r="E66" i="11"/>
  <c r="F66" i="11"/>
  <c r="G66" i="11"/>
  <c r="H66" i="11"/>
  <c r="D76" i="11"/>
  <c r="E76" i="11"/>
  <c r="F76" i="11"/>
  <c r="G76" i="11"/>
  <c r="H76" i="11"/>
  <c r="D87" i="11"/>
  <c r="E87" i="11"/>
  <c r="F87" i="11"/>
  <c r="G87" i="11"/>
  <c r="H87" i="11"/>
  <c r="D94" i="11"/>
  <c r="E94" i="11"/>
  <c r="F94" i="11"/>
  <c r="G94" i="11"/>
  <c r="H94" i="11"/>
  <c r="D96" i="11"/>
  <c r="E96" i="11"/>
  <c r="F96" i="11"/>
  <c r="G96" i="11"/>
  <c r="H96" i="11"/>
  <c r="D98" i="11"/>
  <c r="E98" i="11"/>
  <c r="F98" i="11"/>
  <c r="G98" i="11"/>
  <c r="H98" i="11"/>
  <c r="E99" i="11"/>
  <c r="F99" i="11"/>
  <c r="G99" i="11"/>
  <c r="H99" i="11"/>
  <c r="D100" i="11"/>
  <c r="E100" i="11"/>
  <c r="F100" i="11"/>
  <c r="G100" i="11"/>
  <c r="H100" i="11"/>
  <c r="E108" i="11"/>
  <c r="F108" i="11"/>
  <c r="G108" i="11"/>
  <c r="H108" i="11"/>
  <c r="D109" i="11"/>
  <c r="E109" i="11"/>
  <c r="F109" i="11"/>
  <c r="G109" i="11"/>
  <c r="H109" i="11"/>
  <c r="D112" i="11"/>
  <c r="E112" i="11"/>
  <c r="F112" i="11"/>
  <c r="G112" i="11"/>
  <c r="H112" i="11"/>
  <c r="D113" i="11"/>
  <c r="E113" i="11"/>
  <c r="F113" i="11"/>
  <c r="G113" i="11"/>
  <c r="H113" i="11"/>
  <c r="D126" i="11"/>
  <c r="E126" i="11"/>
  <c r="F126" i="11"/>
  <c r="G126" i="11"/>
  <c r="H126" i="11"/>
  <c r="D128" i="11"/>
  <c r="E128" i="11"/>
  <c r="F128" i="11"/>
  <c r="G128" i="11"/>
  <c r="H128" i="11"/>
</calcChain>
</file>

<file path=xl/sharedStrings.xml><?xml version="1.0" encoding="utf-8"?>
<sst xmlns="http://schemas.openxmlformats.org/spreadsheetml/2006/main" count="169" uniqueCount="100">
  <si>
    <t>Growth (%)</t>
  </si>
  <si>
    <t>% of Sales</t>
  </si>
  <si>
    <t>Gross Profit</t>
  </si>
  <si>
    <t>Interest Expense</t>
  </si>
  <si>
    <t>Pretax Income</t>
  </si>
  <si>
    <t>Income Tax Expense</t>
  </si>
  <si>
    <t>Tax Rate</t>
  </si>
  <si>
    <t>Net Income</t>
  </si>
  <si>
    <t>EBITDA</t>
  </si>
  <si>
    <t>Current Assets</t>
  </si>
  <si>
    <t>Cash</t>
  </si>
  <si>
    <t>Accounts Receivable</t>
  </si>
  <si>
    <t>Inventory</t>
  </si>
  <si>
    <t>Total Current Assets</t>
  </si>
  <si>
    <t>TOTAL ASSETS</t>
  </si>
  <si>
    <t>LIABILITIES</t>
  </si>
  <si>
    <t>Current Liabilities</t>
  </si>
  <si>
    <t>Long Term Liabilities</t>
  </si>
  <si>
    <t>TOTAL LIABILITIES</t>
  </si>
  <si>
    <t>EQUITY</t>
  </si>
  <si>
    <t>TOTAL EQUITY</t>
  </si>
  <si>
    <t>TOTAL LIABILITIES &amp; EQUITY</t>
  </si>
  <si>
    <t>Check</t>
  </si>
  <si>
    <t>BALANCE SHEET ASSUMPTIONS</t>
  </si>
  <si>
    <t>AR Days</t>
  </si>
  <si>
    <t>AP Days</t>
  </si>
  <si>
    <t>Add Back Non-Cash Items</t>
  </si>
  <si>
    <t>Changes in Working Capital</t>
  </si>
  <si>
    <t>Net Cash Flow</t>
  </si>
  <si>
    <t>Beginning Cash Balance</t>
  </si>
  <si>
    <t>Ending Cash Balance</t>
  </si>
  <si>
    <t>Revenue</t>
  </si>
  <si>
    <t>Operating Income (EBIT)</t>
  </si>
  <si>
    <t>Accounts Payable</t>
  </si>
  <si>
    <t>Cost of Goods Sold</t>
  </si>
  <si>
    <t>Total Current Liabilities</t>
  </si>
  <si>
    <t>Fixed Assets</t>
  </si>
  <si>
    <t>ASSETS</t>
  </si>
  <si>
    <t>Prepaid Expenses</t>
  </si>
  <si>
    <t>Current Maturities of Long Term Debt</t>
  </si>
  <si>
    <t>Long Term Debt, Net of Current Maturities</t>
  </si>
  <si>
    <t>CASH FLOW FROM OPERATING ACTIVITIES</t>
  </si>
  <si>
    <t>CASH FLOW FROM INVESTING ACTIVITIES</t>
  </si>
  <si>
    <t>Net Cash Provided by Operating Activities</t>
  </si>
  <si>
    <t>Net Cash Used in Investing Activities</t>
  </si>
  <si>
    <t>CASH FLOW FROM FINANCING ACTIVITIES</t>
  </si>
  <si>
    <t>NA</t>
  </si>
  <si>
    <t>NM</t>
  </si>
  <si>
    <t>Line of Credit</t>
  </si>
  <si>
    <t>PP&amp;E, Net of Accum. Depreciation</t>
  </si>
  <si>
    <t>INCOME STATEMENT</t>
  </si>
  <si>
    <t>BALANCE SHEET</t>
  </si>
  <si>
    <t>CASH FLOW STATEMENT</t>
  </si>
  <si>
    <t>Capital Expenditures - Purchase of PP&amp;E</t>
  </si>
  <si>
    <t>Long Term Debt</t>
  </si>
  <si>
    <t>DEBT SCHEDULE</t>
  </si>
  <si>
    <t>Cash Balance @ Beg of Year (End of Last Year)</t>
  </si>
  <si>
    <t>Plus: Free Cash Flow from Operations and Investing</t>
  </si>
  <si>
    <t>Less: Minimum Cash Balance</t>
  </si>
  <si>
    <t>Current Portion of Long Term Debt</t>
  </si>
  <si>
    <t>Debt</t>
  </si>
  <si>
    <t>Interest Rate on Long Term Debt</t>
  </si>
  <si>
    <t>Interest Rate on Line of Credit</t>
  </si>
  <si>
    <t>Interest Expense on Long Term Debt</t>
  </si>
  <si>
    <t>Interest Expense on Line of Credit</t>
  </si>
  <si>
    <t>Total Interest Expense</t>
  </si>
  <si>
    <t>Depreciation as % of Revenues</t>
  </si>
  <si>
    <t>PP&amp;E SCHEDULE</t>
  </si>
  <si>
    <t>Plus: Capital Expenditures</t>
  </si>
  <si>
    <t>Less: Depreciation</t>
  </si>
  <si>
    <t>Beg: PP&amp;E, Net of Accum. Depreciation</t>
  </si>
  <si>
    <t>End: PP&amp;E, Net of Accum. Depreciation</t>
  </si>
  <si>
    <t xml:space="preserve">Depreciation </t>
  </si>
  <si>
    <t>Amortization</t>
  </si>
  <si>
    <t>Company Name</t>
  </si>
  <si>
    <t>Integrated Financial Statements</t>
  </si>
  <si>
    <t>Supporting Schedules</t>
  </si>
  <si>
    <t>Balance Sheet</t>
  </si>
  <si>
    <t>Income Statement</t>
  </si>
  <si>
    <t>(000s)</t>
  </si>
  <si>
    <t>Inventory Days</t>
  </si>
  <si>
    <t>Operating Expenses (SG&amp;A)</t>
  </si>
  <si>
    <t>Retained Earnings</t>
  </si>
  <si>
    <t>Common Stock</t>
  </si>
  <si>
    <t>Additional Paid In Capital</t>
  </si>
  <si>
    <t>Net Cash Provided by (Used in) Fnce Activities</t>
  </si>
  <si>
    <t>Used To Project</t>
  </si>
  <si>
    <t>Total Cash Available or (Required) from L.O.C.</t>
  </si>
  <si>
    <t>Historical</t>
  </si>
  <si>
    <t>Projected</t>
  </si>
  <si>
    <t>Plus: Free Cash Flow from Financing (BEFORE L.O.C.)</t>
  </si>
  <si>
    <t>Revolving Credit Facility (Line of Credit)</t>
  </si>
  <si>
    <t>Key Assumptions</t>
  </si>
  <si>
    <t>Amortization=0</t>
  </si>
  <si>
    <t>Minimum cash balance of 2000 (000's)</t>
  </si>
  <si>
    <t>Interest rate on line of credit is 5%</t>
  </si>
  <si>
    <t>Interest rate on long term debt is 8%</t>
  </si>
  <si>
    <t>Projected tax rate of 35%</t>
  </si>
  <si>
    <t>Projected revenue growth rate of 10%</t>
  </si>
  <si>
    <t>Capital expenditure will outpace depreciation for the projected period=3500 (000's)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</si>
</sst>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_);[Red]\(#,##0.0\)"/>
    <numFmt numFmtId="166" formatCode="#,##0.0000_);[Red]\(#,##0.0000\)"/>
  </numFmts>
  <fonts count="23" x14ac:knownFonts="1">
    <font>
      <sz val="8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color theme="4"/>
      <name val="Arial"/>
      <family val="2"/>
    </font>
    <font>
      <sz val="8"/>
      <color theme="4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b/>
      <sz val="7"/>
      <name val="Arial"/>
      <family val="2"/>
    </font>
    <font>
      <b/>
      <sz val="8"/>
      <color theme="0"/>
      <name val="Arial"/>
      <family val="2"/>
    </font>
    <font>
      <b/>
      <i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3333CC"/>
      <name val="Arial"/>
      <family val="2"/>
    </font>
    <font>
      <sz val="8"/>
      <color rgb="FF3333CC"/>
      <name val="Arial"/>
      <family val="2"/>
    </font>
    <font>
      <i/>
      <sz val="8"/>
      <color rgb="FF3333CC"/>
      <name val="Arial"/>
      <family val="2"/>
    </font>
    <font>
      <sz val="16"/>
      <name val="Arial"/>
      <family val="2"/>
    </font>
    <font>
      <b/>
      <sz val="14"/>
      <color theme="1"/>
      <name val="Arial"/>
      <family val="2"/>
    </font>
    <font>
      <b/>
      <sz val="10"/>
      <color rgb="FF3333CC"/>
      <name val="Arial"/>
      <family val="2"/>
    </font>
    <font>
      <i/>
      <sz val="7"/>
      <name val="Arial"/>
      <family val="2"/>
    </font>
    <font>
      <i/>
      <sz val="6"/>
      <color theme="1"/>
      <name val="Arial"/>
      <family val="2"/>
    </font>
    <font>
      <i/>
      <sz val="8"/>
      <color rgb="FF0033C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38" fontId="2" fillId="0" borderId="0" xfId="0" applyNumberFormat="1" applyFont="1"/>
    <xf numFmtId="38" fontId="0" fillId="0" borderId="0" xfId="0" applyNumberFormat="1"/>
    <xf numFmtId="38" fontId="3" fillId="0" borderId="0" xfId="0" applyNumberFormat="1" applyFont="1"/>
    <xf numFmtId="38" fontId="4" fillId="0" borderId="0" xfId="0" applyNumberFormat="1" applyFont="1"/>
    <xf numFmtId="38" fontId="6" fillId="0" borderId="0" xfId="0" applyNumberFormat="1" applyFont="1"/>
    <xf numFmtId="38" fontId="7" fillId="0" borderId="0" xfId="0" applyNumberFormat="1" applyFont="1"/>
    <xf numFmtId="9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8" fillId="0" borderId="0" xfId="0" applyFont="1"/>
    <xf numFmtId="38" fontId="3" fillId="0" borderId="1" xfId="0" applyNumberFormat="1" applyFont="1" applyBorder="1"/>
    <xf numFmtId="0" fontId="2" fillId="0" borderId="1" xfId="0" applyFont="1" applyBorder="1" applyAlignment="1">
      <alignment horizontal="left" indent="1"/>
    </xf>
    <xf numFmtId="0" fontId="2" fillId="0" borderId="1" xfId="0" applyFont="1" applyBorder="1"/>
    <xf numFmtId="0" fontId="0" fillId="0" borderId="0" xfId="0" applyAlignment="1">
      <alignment horizontal="left" indent="2"/>
    </xf>
    <xf numFmtId="164" fontId="1" fillId="0" borderId="0" xfId="0" applyNumberFormat="1" applyFont="1"/>
    <xf numFmtId="0" fontId="9" fillId="0" borderId="0" xfId="0" applyFont="1" applyAlignment="1">
      <alignment horizontal="left" indent="1"/>
    </xf>
    <xf numFmtId="165" fontId="10" fillId="0" borderId="0" xfId="0" applyNumberFormat="1" applyFont="1"/>
    <xf numFmtId="0" fontId="0" fillId="0" borderId="1" xfId="0" applyBorder="1"/>
    <xf numFmtId="38" fontId="2" fillId="0" borderId="1" xfId="0" applyNumberFormat="1" applyFont="1" applyBorder="1"/>
    <xf numFmtId="0" fontId="2" fillId="0" borderId="0" xfId="0" applyFont="1" applyAlignment="1">
      <alignment horizontal="left" indent="2"/>
    </xf>
    <xf numFmtId="0" fontId="0" fillId="0" borderId="2" xfId="0" applyBorder="1"/>
    <xf numFmtId="38" fontId="0" fillId="0" borderId="2" xfId="0" applyNumberFormat="1" applyBorder="1"/>
    <xf numFmtId="0" fontId="0" fillId="0" borderId="3" xfId="0" applyBorder="1"/>
    <xf numFmtId="38" fontId="0" fillId="0" borderId="3" xfId="0" applyNumberFormat="1" applyBorder="1"/>
    <xf numFmtId="38" fontId="2" fillId="0" borderId="3" xfId="0" applyNumberFormat="1" applyFont="1" applyBorder="1"/>
    <xf numFmtId="0" fontId="2" fillId="0" borderId="3" xfId="0" applyFont="1" applyBorder="1"/>
    <xf numFmtId="38" fontId="1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38" fontId="15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0" fontId="1" fillId="0" borderId="0" xfId="0" applyNumberFormat="1" applyFont="1"/>
    <xf numFmtId="0" fontId="11" fillId="0" borderId="0" xfId="0" applyFont="1" applyAlignment="1">
      <alignment horizontal="center"/>
    </xf>
    <xf numFmtId="0" fontId="2" fillId="0" borderId="1" xfId="0" applyFont="1" applyBorder="1" applyAlignment="1">
      <alignment horizontal="left" indent="3"/>
    </xf>
    <xf numFmtId="0" fontId="2" fillId="0" borderId="0" xfId="0" applyFont="1" applyAlignment="1">
      <alignment horizontal="left" indent="3"/>
    </xf>
    <xf numFmtId="38" fontId="0" fillId="3" borderId="0" xfId="0" applyNumberFormat="1" applyFill="1" applyAlignment="1">
      <alignment horizontal="centerContinuous"/>
    </xf>
    <xf numFmtId="38" fontId="2" fillId="3" borderId="0" xfId="0" applyNumberFormat="1" applyFont="1" applyFill="1" applyAlignment="1">
      <alignment horizontal="centerContinuous"/>
    </xf>
    <xf numFmtId="0" fontId="8" fillId="0" borderId="0" xfId="0" applyFont="1" applyAlignment="1">
      <alignment horizontal="left" indent="1"/>
    </xf>
    <xf numFmtId="165" fontId="20" fillId="0" borderId="0" xfId="0" applyNumberFormat="1" applyFont="1"/>
    <xf numFmtId="165" fontId="3" fillId="0" borderId="0" xfId="0" applyNumberFormat="1" applyFont="1"/>
    <xf numFmtId="38" fontId="12" fillId="0" borderId="0" xfId="0" applyNumberFormat="1" applyFont="1" applyAlignment="1">
      <alignment horizontal="right"/>
    </xf>
    <xf numFmtId="166" fontId="6" fillId="0" borderId="0" xfId="0" applyNumberFormat="1" applyFont="1"/>
    <xf numFmtId="9" fontId="0" fillId="0" borderId="0" xfId="0" applyNumberFormat="1"/>
    <xf numFmtId="0" fontId="21" fillId="0" borderId="0" xfId="0" applyFont="1" applyAlignment="1">
      <alignment horizontal="center"/>
    </xf>
    <xf numFmtId="0" fontId="0" fillId="4" borderId="0" xfId="0" applyFill="1"/>
    <xf numFmtId="38" fontId="4" fillId="4" borderId="0" xfId="0" applyNumberFormat="1" applyFont="1" applyFill="1"/>
    <xf numFmtId="38" fontId="0" fillId="4" borderId="0" xfId="0" applyNumberFormat="1" applyFill="1"/>
    <xf numFmtId="0" fontId="2" fillId="4" borderId="1" xfId="0" applyFont="1" applyFill="1" applyBorder="1"/>
    <xf numFmtId="38" fontId="3" fillId="4" borderId="1" xfId="0" applyNumberFormat="1" applyFont="1" applyFill="1" applyBorder="1"/>
    <xf numFmtId="0" fontId="2" fillId="4" borderId="0" xfId="0" applyFont="1" applyFill="1"/>
    <xf numFmtId="38" fontId="6" fillId="4" borderId="0" xfId="0" applyNumberFormat="1" applyFont="1" applyFill="1"/>
    <xf numFmtId="0" fontId="0" fillId="4" borderId="0" xfId="0" applyFill="1" applyAlignment="1">
      <alignment horizontal="left" indent="1"/>
    </xf>
    <xf numFmtId="38" fontId="14" fillId="5" borderId="0" xfId="0" applyNumberFormat="1" applyFont="1" applyFill="1"/>
    <xf numFmtId="38" fontId="15" fillId="5" borderId="0" xfId="0" applyNumberFormat="1" applyFont="1" applyFill="1"/>
    <xf numFmtId="164" fontId="5" fillId="0" borderId="0" xfId="0" applyNumberFormat="1" applyFont="1" applyAlignment="1">
      <alignment horizontal="right"/>
    </xf>
    <xf numFmtId="0" fontId="2" fillId="5" borderId="0" xfId="0" applyFont="1" applyFill="1" applyAlignment="1">
      <alignment horizontal="center"/>
    </xf>
    <xf numFmtId="38" fontId="0" fillId="0" borderId="0" xfId="0" applyNumberFormat="1" applyFill="1"/>
    <xf numFmtId="164" fontId="16" fillId="0" borderId="0" xfId="0" applyNumberFormat="1" applyFont="1" applyFill="1"/>
    <xf numFmtId="164" fontId="22" fillId="0" borderId="0" xfId="0" applyNumberFormat="1" applyFont="1" applyFill="1"/>
    <xf numFmtId="38" fontId="15" fillId="0" borderId="0" xfId="0" applyNumberFormat="1" applyFont="1" applyFill="1"/>
    <xf numFmtId="164" fontId="15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3333CC"/>
      <color rgb="FF0033CC"/>
      <color rgb="FF0033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C33"/>
  <sheetViews>
    <sheetView view="pageBreakPreview" topLeftCell="A19" zoomScale="145" zoomScaleNormal="145" zoomScaleSheetLayoutView="145" workbookViewId="0">
      <selection activeCell="C5" sqref="C5"/>
    </sheetView>
  </sheetViews>
  <sheetFormatPr defaultRowHeight="10.199999999999999" x14ac:dyDescent="0.2"/>
  <cols>
    <col min="1" max="1" width="41.85546875" bestFit="1" customWidth="1"/>
    <col min="2" max="3" width="10.85546875" customWidth="1"/>
  </cols>
  <sheetData>
    <row r="1" spans="1:3" ht="17.399999999999999" x14ac:dyDescent="0.3">
      <c r="A1" s="39" t="s">
        <v>78</v>
      </c>
    </row>
    <row r="2" spans="1:3" ht="13.2" x14ac:dyDescent="0.25">
      <c r="A2" s="34" t="s">
        <v>74</v>
      </c>
    </row>
    <row r="3" spans="1:3" x14ac:dyDescent="0.2">
      <c r="A3" s="4" t="s">
        <v>79</v>
      </c>
    </row>
    <row r="4" spans="1:3" ht="5.0999999999999996" customHeight="1" x14ac:dyDescent="0.2"/>
    <row r="5" spans="1:3" x14ac:dyDescent="0.2">
      <c r="A5" s="35" t="s">
        <v>50</v>
      </c>
      <c r="B5" s="36">
        <v>2021</v>
      </c>
      <c r="C5" s="36">
        <v>2022</v>
      </c>
    </row>
    <row r="6" spans="1:3" x14ac:dyDescent="0.2">
      <c r="A6" s="15"/>
      <c r="B6" s="6"/>
      <c r="C6" s="6"/>
    </row>
    <row r="7" spans="1:3" x14ac:dyDescent="0.2">
      <c r="A7" s="4" t="s">
        <v>31</v>
      </c>
      <c r="B7" s="62">
        <v>74452</v>
      </c>
      <c r="C7" s="62">
        <v>83492</v>
      </c>
    </row>
    <row r="8" spans="1:3" s="3" customFormat="1" x14ac:dyDescent="0.2">
      <c r="A8" s="2" t="s">
        <v>0</v>
      </c>
      <c r="B8" s="13" t="s">
        <v>46</v>
      </c>
      <c r="C8" s="14">
        <f>C7/B7-1</f>
        <v>0.12142051254499542</v>
      </c>
    </row>
    <row r="9" spans="1:3" x14ac:dyDescent="0.2">
      <c r="B9" s="12"/>
      <c r="C9" s="12"/>
    </row>
    <row r="10" spans="1:3" x14ac:dyDescent="0.2">
      <c r="A10" s="4" t="s">
        <v>34</v>
      </c>
      <c r="B10" s="62">
        <v>64440</v>
      </c>
      <c r="C10" s="62">
        <v>72524</v>
      </c>
    </row>
    <row r="11" spans="1:3" s="3" customFormat="1" x14ac:dyDescent="0.2">
      <c r="A11" s="2" t="s">
        <v>1</v>
      </c>
      <c r="B11" s="14">
        <f>B10/B7</f>
        <v>0.86552409606189218</v>
      </c>
      <c r="C11" s="14">
        <f>C10/C7</f>
        <v>0.86863412063431222</v>
      </c>
    </row>
    <row r="12" spans="1:3" x14ac:dyDescent="0.2">
      <c r="B12" s="12"/>
      <c r="C12" s="12"/>
    </row>
    <row r="13" spans="1:3" x14ac:dyDescent="0.2">
      <c r="A13" s="4" t="s">
        <v>2</v>
      </c>
      <c r="B13" s="9">
        <f>B7-B10</f>
        <v>10012</v>
      </c>
      <c r="C13" s="9">
        <f>C7-C10</f>
        <v>10968</v>
      </c>
    </row>
    <row r="14" spans="1:3" s="3" customFormat="1" x14ac:dyDescent="0.2">
      <c r="A14" s="2" t="s">
        <v>1</v>
      </c>
      <c r="B14" s="14">
        <f>B13/B7</f>
        <v>0.13447590393810777</v>
      </c>
      <c r="C14" s="14">
        <f>C13/C7</f>
        <v>0.13136587936568772</v>
      </c>
    </row>
    <row r="15" spans="1:3" x14ac:dyDescent="0.2">
      <c r="B15" s="12"/>
      <c r="C15" s="12"/>
    </row>
    <row r="16" spans="1:3" x14ac:dyDescent="0.2">
      <c r="A16" s="4" t="s">
        <v>81</v>
      </c>
      <c r="B16" s="62">
        <v>6389</v>
      </c>
      <c r="C16" s="62">
        <v>6545</v>
      </c>
    </row>
    <row r="17" spans="1:3" s="3" customFormat="1" x14ac:dyDescent="0.2">
      <c r="A17" s="2" t="s">
        <v>1</v>
      </c>
      <c r="B17" s="14">
        <f>B16/B7</f>
        <v>8.5813678611722996E-2</v>
      </c>
      <c r="C17" s="14">
        <f>C16/C7</f>
        <v>7.8390744023379491E-2</v>
      </c>
    </row>
    <row r="18" spans="1:3" x14ac:dyDescent="0.2">
      <c r="B18" s="12"/>
      <c r="C18" s="12"/>
    </row>
    <row r="19" spans="1:3" x14ac:dyDescent="0.2">
      <c r="A19" s="4" t="s">
        <v>32</v>
      </c>
      <c r="B19" s="9">
        <f>B13-B16</f>
        <v>3623</v>
      </c>
      <c r="C19" s="9">
        <f>C13-C16</f>
        <v>4423</v>
      </c>
    </row>
    <row r="20" spans="1:3" x14ac:dyDescent="0.2">
      <c r="B20" s="12"/>
      <c r="C20" s="12"/>
    </row>
    <row r="21" spans="1:3" x14ac:dyDescent="0.2">
      <c r="A21" s="4" t="s">
        <v>3</v>
      </c>
      <c r="B21" s="62">
        <v>518</v>
      </c>
      <c r="C21" s="62">
        <v>474.18170266836086</v>
      </c>
    </row>
    <row r="22" spans="1:3" x14ac:dyDescent="0.2">
      <c r="B22" s="12"/>
      <c r="C22" s="12"/>
    </row>
    <row r="23" spans="1:3" x14ac:dyDescent="0.2">
      <c r="A23" s="4" t="s">
        <v>4</v>
      </c>
      <c r="B23" s="9">
        <f>B19-B21</f>
        <v>3105</v>
      </c>
      <c r="C23" s="9">
        <f>C19-C21</f>
        <v>3948.8182973316393</v>
      </c>
    </row>
    <row r="24" spans="1:3" x14ac:dyDescent="0.2">
      <c r="B24" s="12"/>
      <c r="C24" s="12"/>
    </row>
    <row r="25" spans="1:3" x14ac:dyDescent="0.2">
      <c r="A25" t="s">
        <v>5</v>
      </c>
      <c r="B25" s="62">
        <v>1086.75</v>
      </c>
      <c r="C25" s="62">
        <v>1382.0864040660738</v>
      </c>
    </row>
    <row r="26" spans="1:3" x14ac:dyDescent="0.2">
      <c r="A26" t="s">
        <v>6</v>
      </c>
      <c r="B26" s="13" t="s">
        <v>47</v>
      </c>
      <c r="C26" s="13" t="s">
        <v>47</v>
      </c>
    </row>
    <row r="27" spans="1:3" x14ac:dyDescent="0.2">
      <c r="B27" s="12"/>
      <c r="C27" s="12"/>
    </row>
    <row r="28" spans="1:3" x14ac:dyDescent="0.2">
      <c r="A28" s="4" t="s">
        <v>7</v>
      </c>
      <c r="B28" s="9">
        <f>B23-B25</f>
        <v>2018.25</v>
      </c>
      <c r="C28" s="9">
        <f>C23-C25</f>
        <v>2566.7318932655653</v>
      </c>
    </row>
    <row r="29" spans="1:3" x14ac:dyDescent="0.2">
      <c r="B29" s="12"/>
      <c r="C29" s="12"/>
    </row>
    <row r="30" spans="1:3" x14ac:dyDescent="0.2">
      <c r="A30" t="s">
        <v>32</v>
      </c>
      <c r="B30" s="10">
        <f>B19</f>
        <v>3623</v>
      </c>
      <c r="C30" s="10">
        <f>C19</f>
        <v>4423</v>
      </c>
    </row>
    <row r="31" spans="1:3" x14ac:dyDescent="0.2">
      <c r="A31" t="s">
        <v>72</v>
      </c>
      <c r="B31" s="63">
        <v>2648</v>
      </c>
      <c r="C31" s="63">
        <v>2981</v>
      </c>
    </row>
    <row r="32" spans="1:3" x14ac:dyDescent="0.2">
      <c r="A32" t="s">
        <v>73</v>
      </c>
      <c r="B32" s="63">
        <v>0</v>
      </c>
      <c r="C32" s="63">
        <v>0</v>
      </c>
    </row>
    <row r="33" spans="1:3" x14ac:dyDescent="0.2">
      <c r="A33" s="57" t="s">
        <v>8</v>
      </c>
      <c r="B33" s="58">
        <f>B19+B31</f>
        <v>6271</v>
      </c>
      <c r="C33" s="58">
        <f>C19+C31</f>
        <v>7404</v>
      </c>
    </row>
  </sheetData>
  <printOptions horizontalCentered="1"/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  <pageSetUpPr fitToPage="1"/>
  </sheetPr>
  <dimension ref="A1:D44"/>
  <sheetViews>
    <sheetView view="pageBreakPreview" topLeftCell="A2" zoomScale="107" zoomScaleNormal="145" zoomScaleSheetLayoutView="107" workbookViewId="0">
      <selection activeCell="C44" sqref="C44"/>
    </sheetView>
  </sheetViews>
  <sheetFormatPr defaultRowHeight="10.199999999999999" x14ac:dyDescent="0.2"/>
  <cols>
    <col min="1" max="1" width="41.85546875" bestFit="1" customWidth="1"/>
    <col min="2" max="3" width="10.85546875" customWidth="1"/>
  </cols>
  <sheetData>
    <row r="1" spans="1:3" ht="17.399999999999999" x14ac:dyDescent="0.3">
      <c r="A1" s="39" t="s">
        <v>77</v>
      </c>
    </row>
    <row r="2" spans="1:3" ht="13.2" x14ac:dyDescent="0.25">
      <c r="A2" s="34" t="s">
        <v>74</v>
      </c>
    </row>
    <row r="3" spans="1:3" x14ac:dyDescent="0.2">
      <c r="A3" s="4" t="s">
        <v>79</v>
      </c>
    </row>
    <row r="4" spans="1:3" ht="5.0999999999999996" customHeight="1" x14ac:dyDescent="0.2"/>
    <row r="5" spans="1:3" x14ac:dyDescent="0.2">
      <c r="A5" s="35" t="s">
        <v>51</v>
      </c>
      <c r="B5" s="36">
        <f>'Income Statement'!B5</f>
        <v>2021</v>
      </c>
      <c r="C5" s="36">
        <f>'Income Statement'!C5</f>
        <v>2022</v>
      </c>
    </row>
    <row r="6" spans="1:3" ht="3" customHeight="1" x14ac:dyDescent="0.2">
      <c r="B6" s="6"/>
      <c r="C6" s="6"/>
    </row>
    <row r="7" spans="1:3" x14ac:dyDescent="0.2">
      <c r="A7" s="4" t="s">
        <v>37</v>
      </c>
    </row>
    <row r="8" spans="1:3" ht="3" customHeight="1" x14ac:dyDescent="0.2"/>
    <row r="9" spans="1:3" x14ac:dyDescent="0.2">
      <c r="A9" s="5" t="s">
        <v>9</v>
      </c>
      <c r="B9" s="11"/>
      <c r="C9" s="11"/>
    </row>
    <row r="10" spans="1:3" x14ac:dyDescent="0.2">
      <c r="A10" s="19" t="s">
        <v>10</v>
      </c>
      <c r="B10" s="63">
        <v>1773</v>
      </c>
      <c r="C10" s="63">
        <v>2000</v>
      </c>
    </row>
    <row r="11" spans="1:3" x14ac:dyDescent="0.2">
      <c r="A11" s="19" t="s">
        <v>11</v>
      </c>
      <c r="B11" s="63">
        <v>7750</v>
      </c>
      <c r="C11" s="63">
        <v>8852</v>
      </c>
    </row>
    <row r="12" spans="1:3" x14ac:dyDescent="0.2">
      <c r="A12" s="19" t="s">
        <v>12</v>
      </c>
      <c r="B12" s="63">
        <v>4800</v>
      </c>
      <c r="C12" s="63">
        <v>5700</v>
      </c>
    </row>
    <row r="13" spans="1:3" x14ac:dyDescent="0.2">
      <c r="A13" s="19" t="s">
        <v>38</v>
      </c>
      <c r="B13" s="63">
        <v>456</v>
      </c>
      <c r="C13" s="63">
        <v>1849</v>
      </c>
    </row>
    <row r="14" spans="1:3" x14ac:dyDescent="0.2">
      <c r="A14" s="17" t="s">
        <v>13</v>
      </c>
      <c r="B14" s="16">
        <f>SUM(B10:B13)</f>
        <v>14779</v>
      </c>
      <c r="C14" s="16">
        <f>SUM(C10:C13)</f>
        <v>18401</v>
      </c>
    </row>
    <row r="15" spans="1:3" ht="3" customHeight="1" x14ac:dyDescent="0.2">
      <c r="A15" s="1"/>
      <c r="B15" s="11"/>
      <c r="C15" s="11"/>
    </row>
    <row r="16" spans="1:3" x14ac:dyDescent="0.2">
      <c r="A16" s="5" t="s">
        <v>36</v>
      </c>
      <c r="B16" s="11"/>
      <c r="C16" s="11"/>
    </row>
    <row r="17" spans="1:3" x14ac:dyDescent="0.2">
      <c r="A17" s="19" t="s">
        <v>49</v>
      </c>
      <c r="B17" s="63">
        <v>10913</v>
      </c>
      <c r="C17" s="63">
        <v>10932</v>
      </c>
    </row>
    <row r="18" spans="1:3" ht="3" customHeight="1" x14ac:dyDescent="0.2">
      <c r="B18" s="11"/>
      <c r="C18" s="11"/>
    </row>
    <row r="19" spans="1:3" x14ac:dyDescent="0.2">
      <c r="A19" s="18" t="s">
        <v>14</v>
      </c>
      <c r="B19" s="16">
        <f>B14+B17</f>
        <v>25692</v>
      </c>
      <c r="C19" s="16">
        <f>C14+C17</f>
        <v>29333</v>
      </c>
    </row>
    <row r="20" spans="1:3" ht="3" customHeight="1" x14ac:dyDescent="0.2">
      <c r="B20" s="11"/>
      <c r="C20" s="11"/>
    </row>
    <row r="21" spans="1:3" x14ac:dyDescent="0.2">
      <c r="A21" s="4" t="s">
        <v>15</v>
      </c>
      <c r="B21" s="11"/>
      <c r="C21" s="11"/>
    </row>
    <row r="22" spans="1:3" ht="3" customHeight="1" x14ac:dyDescent="0.2">
      <c r="A22" s="4"/>
      <c r="B22" s="11"/>
      <c r="C22" s="11"/>
    </row>
    <row r="23" spans="1:3" x14ac:dyDescent="0.2">
      <c r="A23" s="5" t="s">
        <v>16</v>
      </c>
      <c r="B23" s="11"/>
      <c r="C23" s="11"/>
    </row>
    <row r="24" spans="1:3" x14ac:dyDescent="0.2">
      <c r="A24" s="19" t="s">
        <v>33</v>
      </c>
      <c r="B24" s="63">
        <v>5665</v>
      </c>
      <c r="C24" s="63">
        <v>6656</v>
      </c>
    </row>
    <row r="25" spans="1:3" x14ac:dyDescent="0.2">
      <c r="A25" s="19" t="s">
        <v>48</v>
      </c>
      <c r="B25" s="63">
        <v>792</v>
      </c>
      <c r="C25" s="63">
        <v>1375.2681067344347</v>
      </c>
    </row>
    <row r="26" spans="1:3" x14ac:dyDescent="0.2">
      <c r="A26" s="19" t="s">
        <v>39</v>
      </c>
      <c r="B26" s="63">
        <v>500</v>
      </c>
      <c r="C26" s="63">
        <v>500</v>
      </c>
    </row>
    <row r="27" spans="1:3" x14ac:dyDescent="0.2">
      <c r="A27" s="17" t="s">
        <v>35</v>
      </c>
      <c r="B27" s="16">
        <f>SUM(B24:B26)</f>
        <v>6957</v>
      </c>
      <c r="C27" s="16">
        <f>SUM(C24:C26)</f>
        <v>8531.2681067344347</v>
      </c>
    </row>
    <row r="28" spans="1:3" ht="3" customHeight="1" x14ac:dyDescent="0.2">
      <c r="A28" s="1"/>
      <c r="B28" s="11"/>
      <c r="C28" s="11"/>
    </row>
    <row r="29" spans="1:3" x14ac:dyDescent="0.2">
      <c r="A29" s="5" t="s">
        <v>17</v>
      </c>
      <c r="B29" s="51"/>
      <c r="C29" s="51"/>
    </row>
    <row r="30" spans="1:3" x14ac:dyDescent="0.2">
      <c r="A30" s="19" t="s">
        <v>40</v>
      </c>
      <c r="B30" s="63">
        <v>5000</v>
      </c>
      <c r="C30" s="63">
        <v>4500</v>
      </c>
    </row>
    <row r="31" spans="1:3" ht="3" customHeight="1" x14ac:dyDescent="0.2">
      <c r="A31" s="1"/>
      <c r="B31" s="11"/>
      <c r="C31" s="11"/>
    </row>
    <row r="32" spans="1:3" x14ac:dyDescent="0.2">
      <c r="A32" s="18" t="s">
        <v>18</v>
      </c>
      <c r="B32" s="16">
        <f>B27+B30</f>
        <v>11957</v>
      </c>
      <c r="C32" s="16">
        <f>C27+C30</f>
        <v>13031.268106734435</v>
      </c>
    </row>
    <row r="33" spans="1:4" ht="3" customHeight="1" x14ac:dyDescent="0.2">
      <c r="B33" s="11"/>
      <c r="C33" s="11"/>
    </row>
    <row r="34" spans="1:4" x14ac:dyDescent="0.2">
      <c r="A34" s="4" t="s">
        <v>19</v>
      </c>
      <c r="B34" s="11"/>
      <c r="C34" s="11"/>
    </row>
    <row r="35" spans="1:4" x14ac:dyDescent="0.2">
      <c r="A35" s="1" t="s">
        <v>83</v>
      </c>
      <c r="B35" s="63">
        <v>15</v>
      </c>
      <c r="C35" s="63">
        <v>15</v>
      </c>
    </row>
    <row r="36" spans="1:4" x14ac:dyDescent="0.2">
      <c r="A36" s="1" t="s">
        <v>84</v>
      </c>
      <c r="B36" s="63">
        <v>5000</v>
      </c>
      <c r="C36" s="63">
        <v>5000</v>
      </c>
    </row>
    <row r="37" spans="1:4" x14ac:dyDescent="0.2">
      <c r="A37" s="1" t="s">
        <v>82</v>
      </c>
      <c r="B37" s="63">
        <v>8720</v>
      </c>
      <c r="C37" s="63">
        <v>11286.731893265565</v>
      </c>
      <c r="D37" s="8"/>
    </row>
    <row r="38" spans="1:4" x14ac:dyDescent="0.2">
      <c r="A38" s="18" t="s">
        <v>20</v>
      </c>
      <c r="B38" s="16">
        <f>SUM(B35:B37)</f>
        <v>13735</v>
      </c>
      <c r="C38" s="16">
        <f>SUM(C35:C37)</f>
        <v>16301.731893265565</v>
      </c>
    </row>
    <row r="39" spans="1:4" ht="3" customHeight="1" x14ac:dyDescent="0.2">
      <c r="B39" s="11"/>
      <c r="C39" s="11"/>
    </row>
    <row r="40" spans="1:4" x14ac:dyDescent="0.2">
      <c r="A40" s="4" t="s">
        <v>21</v>
      </c>
      <c r="B40" s="9">
        <f>B32+B38</f>
        <v>25692</v>
      </c>
      <c r="C40" s="9">
        <f>C32+C38</f>
        <v>29333</v>
      </c>
    </row>
    <row r="41" spans="1:4" x14ac:dyDescent="0.2">
      <c r="A41" s="21" t="s">
        <v>22</v>
      </c>
      <c r="B41" s="22">
        <f>B19-B40</f>
        <v>0</v>
      </c>
      <c r="C41" s="22">
        <f>C19-C40</f>
        <v>0</v>
      </c>
    </row>
    <row r="42" spans="1:4" x14ac:dyDescent="0.2">
      <c r="B42" s="11"/>
      <c r="C42" s="11"/>
    </row>
    <row r="43" spans="1:4" x14ac:dyDescent="0.2">
      <c r="B43" s="52"/>
      <c r="C43" s="52"/>
    </row>
    <row r="44" spans="1:4" x14ac:dyDescent="0.2">
      <c r="B44" s="52"/>
      <c r="C44" s="52"/>
    </row>
  </sheetData>
  <printOptions horizontalCentere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20F7-B4F7-4A99-B1E9-A1AA24C157E6}">
  <sheetPr>
    <tabColor theme="3" tint="-0.249977111117893"/>
  </sheetPr>
  <dimension ref="A1:B9"/>
  <sheetViews>
    <sheetView workbookViewId="0">
      <selection activeCell="B3" sqref="B3"/>
    </sheetView>
  </sheetViews>
  <sheetFormatPr defaultRowHeight="10.199999999999999" x14ac:dyDescent="0.2"/>
  <cols>
    <col min="1" max="1" width="70.28515625" customWidth="1"/>
  </cols>
  <sheetData>
    <row r="1" spans="1:1" ht="16.8" customHeight="1" x14ac:dyDescent="0.2">
      <c r="A1" s="65" t="s">
        <v>92</v>
      </c>
    </row>
    <row r="2" spans="1:1" ht="6" customHeight="1" x14ac:dyDescent="0.2"/>
    <row r="3" spans="1:1" x14ac:dyDescent="0.2">
      <c r="A3" t="s">
        <v>98</v>
      </c>
    </row>
    <row r="4" spans="1:1" x14ac:dyDescent="0.2">
      <c r="A4" t="s">
        <v>97</v>
      </c>
    </row>
    <row r="5" spans="1:1" x14ac:dyDescent="0.2">
      <c r="A5" t="s">
        <v>93</v>
      </c>
    </row>
    <row r="6" spans="1:1" x14ac:dyDescent="0.2">
      <c r="A6" t="s">
        <v>94</v>
      </c>
    </row>
    <row r="7" spans="1:1" x14ac:dyDescent="0.2">
      <c r="A7" t="s">
        <v>96</v>
      </c>
    </row>
    <row r="8" spans="1:1" x14ac:dyDescent="0.2">
      <c r="A8" t="s">
        <v>95</v>
      </c>
    </row>
    <row r="9" spans="1:1" x14ac:dyDescent="0.2">
      <c r="A9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J142"/>
  <sheetViews>
    <sheetView tabSelected="1" topLeftCell="A97" zoomScaleNormal="100" workbookViewId="0">
      <selection activeCell="D133" sqref="D133"/>
    </sheetView>
  </sheetViews>
  <sheetFormatPr defaultRowHeight="10.199999999999999" x14ac:dyDescent="0.2"/>
  <cols>
    <col min="1" max="1" width="55.28515625" bestFit="1" customWidth="1"/>
    <col min="2" max="8" width="10.85546875" customWidth="1"/>
  </cols>
  <sheetData>
    <row r="1" spans="1:8" ht="17.399999999999999" x14ac:dyDescent="0.3">
      <c r="A1" s="39" t="s">
        <v>75</v>
      </c>
    </row>
    <row r="2" spans="1:8" ht="13.2" x14ac:dyDescent="0.25">
      <c r="A2" s="40" t="s">
        <v>74</v>
      </c>
    </row>
    <row r="3" spans="1:8" x14ac:dyDescent="0.2">
      <c r="A3" s="4" t="s">
        <v>79</v>
      </c>
    </row>
    <row r="4" spans="1:8" ht="9.9" customHeight="1" x14ac:dyDescent="0.2">
      <c r="A4" s="4"/>
      <c r="B4" s="53" t="s">
        <v>88</v>
      </c>
      <c r="C4" s="53" t="s">
        <v>88</v>
      </c>
      <c r="D4" s="53" t="s">
        <v>89</v>
      </c>
      <c r="E4" s="53" t="s">
        <v>89</v>
      </c>
      <c r="F4" s="53" t="s">
        <v>89</v>
      </c>
      <c r="G4" s="53" t="s">
        <v>89</v>
      </c>
      <c r="H4" s="53" t="s">
        <v>89</v>
      </c>
    </row>
    <row r="5" spans="1:8" x14ac:dyDescent="0.2">
      <c r="A5" s="35" t="s">
        <v>50</v>
      </c>
      <c r="B5" s="36">
        <f>'Income Statement'!B5</f>
        <v>2021</v>
      </c>
      <c r="C5" s="36">
        <f>B5+1</f>
        <v>2022</v>
      </c>
      <c r="D5" s="36">
        <f t="shared" ref="D5:H5" si="0">C5+1</f>
        <v>2023</v>
      </c>
      <c r="E5" s="36">
        <f t="shared" si="0"/>
        <v>2024</v>
      </c>
      <c r="F5" s="36">
        <f t="shared" si="0"/>
        <v>2025</v>
      </c>
      <c r="G5" s="36">
        <f t="shared" si="0"/>
        <v>2026</v>
      </c>
      <c r="H5" s="36">
        <f t="shared" si="0"/>
        <v>2027</v>
      </c>
    </row>
    <row r="6" spans="1:8" ht="3" customHeight="1" x14ac:dyDescent="0.2">
      <c r="A6" s="15"/>
      <c r="B6" s="6"/>
      <c r="C6" s="6"/>
    </row>
    <row r="7" spans="1:8" x14ac:dyDescent="0.2">
      <c r="A7" s="4" t="s">
        <v>31</v>
      </c>
      <c r="B7" s="9">
        <f>'Income Statement'!B7</f>
        <v>74452</v>
      </c>
      <c r="C7" s="9">
        <f>'Income Statement'!C7</f>
        <v>83492</v>
      </c>
      <c r="D7" s="7">
        <f>C7*(1+D8)</f>
        <v>91841.200000000012</v>
      </c>
      <c r="E7" s="7">
        <f t="shared" ref="E7:H7" si="1">D7*(1+E8)</f>
        <v>101025.32000000002</v>
      </c>
      <c r="F7" s="7">
        <f t="shared" si="1"/>
        <v>111127.85200000003</v>
      </c>
      <c r="G7" s="7">
        <f t="shared" si="1"/>
        <v>122240.63720000004</v>
      </c>
      <c r="H7" s="7">
        <f t="shared" si="1"/>
        <v>134464.70092000006</v>
      </c>
    </row>
    <row r="8" spans="1:8" x14ac:dyDescent="0.2">
      <c r="A8" s="2" t="s">
        <v>0</v>
      </c>
      <c r="B8" s="13" t="s">
        <v>46</v>
      </c>
      <c r="C8" s="64">
        <f>C7/B7-1</f>
        <v>0.12142051254499542</v>
      </c>
      <c r="D8" s="68">
        <v>0.1</v>
      </c>
      <c r="E8" s="68">
        <v>0.1</v>
      </c>
      <c r="F8" s="68">
        <v>0.1</v>
      </c>
      <c r="G8" s="68">
        <v>0.1</v>
      </c>
      <c r="H8" s="68">
        <v>0.1</v>
      </c>
    </row>
    <row r="9" spans="1:8" ht="3" customHeight="1" x14ac:dyDescent="0.2">
      <c r="B9" s="12"/>
      <c r="C9" s="12"/>
    </row>
    <row r="10" spans="1:8" x14ac:dyDescent="0.2">
      <c r="A10" s="4" t="s">
        <v>34</v>
      </c>
      <c r="B10" s="9">
        <f>'Income Statement'!B10</f>
        <v>64440</v>
      </c>
      <c r="C10" s="9">
        <f>'Income Statement'!C10</f>
        <v>72524</v>
      </c>
      <c r="D10" s="7">
        <f>D7*D11</f>
        <v>79633.585805619732</v>
      </c>
      <c r="E10" s="7">
        <f t="shared" ref="E10:H10" si="2">E7*E11</f>
        <v>87596.944386181713</v>
      </c>
      <c r="F10" s="7">
        <f t="shared" si="2"/>
        <v>96356.638824799884</v>
      </c>
      <c r="G10" s="7">
        <f t="shared" si="2"/>
        <v>105992.30270727989</v>
      </c>
      <c r="H10" s="7">
        <f t="shared" si="2"/>
        <v>116591.53297800789</v>
      </c>
    </row>
    <row r="11" spans="1:8" x14ac:dyDescent="0.2">
      <c r="A11" s="2" t="s">
        <v>1</v>
      </c>
      <c r="B11" s="14">
        <f>B10/B$7</f>
        <v>0.86552409606189218</v>
      </c>
      <c r="C11" s="14">
        <f>C10/C$7</f>
        <v>0.86863412063431222</v>
      </c>
      <c r="D11" s="20">
        <f>AVERAGE($B$11:$C$11)</f>
        <v>0.8670791083481022</v>
      </c>
      <c r="E11" s="20">
        <f t="shared" ref="E11:H11" si="3">AVERAGE($B$11:$C$11)</f>
        <v>0.8670791083481022</v>
      </c>
      <c r="F11" s="20">
        <f t="shared" si="3"/>
        <v>0.8670791083481022</v>
      </c>
      <c r="G11" s="20">
        <f t="shared" si="3"/>
        <v>0.8670791083481022</v>
      </c>
      <c r="H11" s="20">
        <f t="shared" si="3"/>
        <v>0.8670791083481022</v>
      </c>
    </row>
    <row r="12" spans="1:8" ht="3" customHeight="1" x14ac:dyDescent="0.2">
      <c r="B12" s="12"/>
      <c r="C12" s="12"/>
    </row>
    <row r="13" spans="1:8" x14ac:dyDescent="0.2">
      <c r="A13" s="4" t="s">
        <v>2</v>
      </c>
      <c r="B13" s="9">
        <f>B7-B10</f>
        <v>10012</v>
      </c>
      <c r="C13" s="9">
        <f>C7-C10</f>
        <v>10968</v>
      </c>
      <c r="D13" s="9">
        <f>D7-D10</f>
        <v>12207.61419438028</v>
      </c>
      <c r="E13" s="9">
        <f t="shared" ref="E13:H13" si="4">E7-E10</f>
        <v>13428.375613818309</v>
      </c>
      <c r="F13" s="9">
        <f t="shared" si="4"/>
        <v>14771.213175200144</v>
      </c>
      <c r="G13" s="9">
        <f t="shared" si="4"/>
        <v>16248.334492720154</v>
      </c>
      <c r="H13" s="9">
        <f t="shared" si="4"/>
        <v>17873.167941992171</v>
      </c>
    </row>
    <row r="14" spans="1:8" x14ac:dyDescent="0.2">
      <c r="A14" s="2" t="s">
        <v>1</v>
      </c>
      <c r="B14" s="14">
        <f>B13/B$7</f>
        <v>0.13447590393810777</v>
      </c>
      <c r="C14" s="14">
        <f>C13/C$7</f>
        <v>0.13136587936568772</v>
      </c>
      <c r="D14" s="14">
        <f>D13/D7</f>
        <v>0.13292089165189783</v>
      </c>
      <c r="E14" s="14">
        <f t="shared" ref="E14:H14" si="5">E13/E7</f>
        <v>0.13292089165189783</v>
      </c>
      <c r="F14" s="14">
        <f t="shared" si="5"/>
        <v>0.13292089165189785</v>
      </c>
      <c r="G14" s="14">
        <f t="shared" si="5"/>
        <v>0.1329208916518978</v>
      </c>
      <c r="H14" s="14">
        <f t="shared" si="5"/>
        <v>0.1329208916518978</v>
      </c>
    </row>
    <row r="15" spans="1:8" ht="3" customHeight="1" x14ac:dyDescent="0.2">
      <c r="B15" s="12"/>
      <c r="C15" s="12"/>
    </row>
    <row r="16" spans="1:8" x14ac:dyDescent="0.2">
      <c r="A16" s="4" t="s">
        <v>81</v>
      </c>
      <c r="B16" s="9">
        <f>'Income Statement'!B16</f>
        <v>6389</v>
      </c>
      <c r="C16" s="9">
        <f>'Income Statement'!C16</f>
        <v>6545</v>
      </c>
      <c r="D16" s="9">
        <f>D7*D17</f>
        <v>7540.3656100574881</v>
      </c>
      <c r="E16" s="9">
        <f t="shared" ref="E16:H16" si="6">E7*E17</f>
        <v>8294.4021710632369</v>
      </c>
      <c r="F16" s="9">
        <f t="shared" si="6"/>
        <v>9123.8423881695617</v>
      </c>
      <c r="G16" s="9">
        <f t="shared" si="6"/>
        <v>10036.226626986519</v>
      </c>
      <c r="H16" s="9">
        <f t="shared" si="6"/>
        <v>11039.849289685171</v>
      </c>
    </row>
    <row r="17" spans="1:8" x14ac:dyDescent="0.2">
      <c r="A17" s="2" t="s">
        <v>1</v>
      </c>
      <c r="B17" s="14">
        <f>B16/B$7</f>
        <v>8.5813678611722996E-2</v>
      </c>
      <c r="C17" s="14">
        <f>C16/C$7</f>
        <v>7.8390744023379491E-2</v>
      </c>
      <c r="D17" s="20">
        <f>AVERAGE($B$17:$C$17)</f>
        <v>8.2102211317551244E-2</v>
      </c>
      <c r="E17" s="20">
        <f t="shared" ref="E17:H17" si="7">AVERAGE($B$17:$C$17)</f>
        <v>8.2102211317551244E-2</v>
      </c>
      <c r="F17" s="20">
        <f t="shared" si="7"/>
        <v>8.2102211317551244E-2</v>
      </c>
      <c r="G17" s="20">
        <f t="shared" si="7"/>
        <v>8.2102211317551244E-2</v>
      </c>
      <c r="H17" s="20">
        <f t="shared" si="7"/>
        <v>8.2102211317551244E-2</v>
      </c>
    </row>
    <row r="18" spans="1:8" ht="3" customHeight="1" x14ac:dyDescent="0.2">
      <c r="B18" s="12"/>
      <c r="C18" s="12"/>
    </row>
    <row r="19" spans="1:8" x14ac:dyDescent="0.2">
      <c r="A19" s="4" t="s">
        <v>32</v>
      </c>
      <c r="B19" s="9">
        <f>B13-B16</f>
        <v>3623</v>
      </c>
      <c r="C19" s="9">
        <f>C13-C16</f>
        <v>4423</v>
      </c>
      <c r="D19" s="9">
        <f>D13-D16</f>
        <v>4667.2485843227914</v>
      </c>
      <c r="E19" s="9">
        <f t="shared" ref="E19:H19" si="8">E13-E16</f>
        <v>5133.973442755072</v>
      </c>
      <c r="F19" s="9">
        <f t="shared" si="8"/>
        <v>5647.3707870305825</v>
      </c>
      <c r="G19" s="9">
        <f t="shared" si="8"/>
        <v>6212.1078657336348</v>
      </c>
      <c r="H19" s="9">
        <f t="shared" si="8"/>
        <v>6833.3186523069999</v>
      </c>
    </row>
    <row r="20" spans="1:8" ht="3" customHeight="1" x14ac:dyDescent="0.2">
      <c r="B20" s="12"/>
      <c r="C20" s="12"/>
    </row>
    <row r="21" spans="1:8" x14ac:dyDescent="0.2">
      <c r="A21" s="4" t="s">
        <v>3</v>
      </c>
      <c r="B21" s="9">
        <f>'Income Statement'!B21</f>
        <v>518</v>
      </c>
      <c r="C21" s="9">
        <f>'Income Statement'!C21</f>
        <v>474.18170266836086</v>
      </c>
      <c r="D21" s="7">
        <f ca="1">D128</f>
        <v>414.38170266836084</v>
      </c>
      <c r="E21" s="7">
        <f ca="1">E128</f>
        <v>340</v>
      </c>
      <c r="F21" s="7">
        <f ca="1">F128</f>
        <v>300</v>
      </c>
      <c r="G21" s="7">
        <f ca="1">G128</f>
        <v>260</v>
      </c>
      <c r="H21" s="7">
        <f ca="1">H128</f>
        <v>220</v>
      </c>
    </row>
    <row r="22" spans="1:8" ht="3" customHeight="1" x14ac:dyDescent="0.2">
      <c r="B22" s="12"/>
      <c r="C22" s="12"/>
    </row>
    <row r="23" spans="1:8" x14ac:dyDescent="0.2">
      <c r="A23" s="4" t="s">
        <v>4</v>
      </c>
      <c r="B23" s="9">
        <f>B19-B21</f>
        <v>3105</v>
      </c>
      <c r="C23" s="9">
        <f>C19-C21</f>
        <v>3948.8182973316393</v>
      </c>
      <c r="D23" s="9">
        <f ca="1">D19-D21</f>
        <v>4252.8668816544305</v>
      </c>
      <c r="E23" s="9">
        <f ca="1">E19-E21</f>
        <v>4793.973442755072</v>
      </c>
      <c r="F23" s="9">
        <f ca="1">F19-F21</f>
        <v>5347.3707870305825</v>
      </c>
      <c r="G23" s="9">
        <f ca="1">G19-G21</f>
        <v>5952.1078657336348</v>
      </c>
      <c r="H23" s="9">
        <f ca="1">H19-H21</f>
        <v>6613.3186523069999</v>
      </c>
    </row>
    <row r="24" spans="1:8" ht="3" customHeight="1" x14ac:dyDescent="0.2">
      <c r="B24" s="12"/>
      <c r="C24" s="12"/>
    </row>
    <row r="25" spans="1:8" x14ac:dyDescent="0.2">
      <c r="A25" t="s">
        <v>5</v>
      </c>
      <c r="B25" s="9">
        <f>'Income Statement'!B25</f>
        <v>1086.75</v>
      </c>
      <c r="C25" s="9">
        <f>'Income Statement'!C25</f>
        <v>1382.0864040660738</v>
      </c>
      <c r="D25" s="9">
        <f ca="1">D23*D26</f>
        <v>1488.5034085790505</v>
      </c>
      <c r="E25" s="9">
        <f ca="1">E23*E26</f>
        <v>1677.8907049642751</v>
      </c>
      <c r="F25" s="9">
        <f ca="1">F23*F26</f>
        <v>1871.5797754607038</v>
      </c>
      <c r="G25" s="9">
        <f ca="1">G23*G26</f>
        <v>2083.237753006772</v>
      </c>
      <c r="H25" s="9">
        <f ca="1">H23*H26</f>
        <v>2314.6615283074498</v>
      </c>
    </row>
    <row r="26" spans="1:8" x14ac:dyDescent="0.2">
      <c r="A26" t="s">
        <v>6</v>
      </c>
      <c r="B26" s="13" t="s">
        <v>47</v>
      </c>
      <c r="C26" s="13" t="s">
        <v>47</v>
      </c>
      <c r="D26" s="67">
        <v>0.35</v>
      </c>
      <c r="E26" s="67">
        <v>0.35</v>
      </c>
      <c r="F26" s="67">
        <v>0.35</v>
      </c>
      <c r="G26" s="67">
        <v>0.35</v>
      </c>
      <c r="H26" s="67">
        <v>0.35</v>
      </c>
    </row>
    <row r="27" spans="1:8" ht="3" customHeight="1" x14ac:dyDescent="0.2">
      <c r="B27" s="12"/>
      <c r="C27" s="12"/>
    </row>
    <row r="28" spans="1:8" x14ac:dyDescent="0.2">
      <c r="A28" s="4" t="s">
        <v>7</v>
      </c>
      <c r="B28" s="9">
        <f>B23-B25</f>
        <v>2018.25</v>
      </c>
      <c r="C28" s="9">
        <f>C23-C25</f>
        <v>2566.7318932655653</v>
      </c>
      <c r="D28" s="9">
        <f ca="1">D23-D25</f>
        <v>2764.3634730753802</v>
      </c>
      <c r="E28" s="9">
        <f ca="1">E23-E25</f>
        <v>3116.0827377907972</v>
      </c>
      <c r="F28" s="9">
        <f ca="1">F23-F25</f>
        <v>3475.7910115698787</v>
      </c>
      <c r="G28" s="9">
        <f ca="1">G23-G25</f>
        <v>3868.8701127268628</v>
      </c>
      <c r="H28" s="9">
        <f ca="1">H23-H25</f>
        <v>4298.6571239995501</v>
      </c>
    </row>
    <row r="29" spans="1:8" ht="3" customHeight="1" x14ac:dyDescent="0.2">
      <c r="B29" s="12"/>
      <c r="C29" s="12"/>
    </row>
    <row r="30" spans="1:8" ht="11.25" customHeight="1" x14ac:dyDescent="0.2">
      <c r="A30" s="54" t="s">
        <v>32</v>
      </c>
      <c r="B30" s="55">
        <f>B19</f>
        <v>3623</v>
      </c>
      <c r="C30" s="55">
        <f>C19</f>
        <v>4423</v>
      </c>
      <c r="D30" s="55">
        <f t="shared" ref="D30:H30" si="9">D19</f>
        <v>4667.2485843227914</v>
      </c>
      <c r="E30" s="55">
        <f t="shared" si="9"/>
        <v>5133.973442755072</v>
      </c>
      <c r="F30" s="55">
        <f t="shared" si="9"/>
        <v>5647.3707870305825</v>
      </c>
      <c r="G30" s="55">
        <f t="shared" si="9"/>
        <v>6212.1078657336348</v>
      </c>
      <c r="H30" s="55">
        <f t="shared" si="9"/>
        <v>6833.3186523069999</v>
      </c>
    </row>
    <row r="31" spans="1:8" x14ac:dyDescent="0.2">
      <c r="A31" s="54" t="s">
        <v>72</v>
      </c>
      <c r="B31" s="55">
        <f>'Income Statement'!B31</f>
        <v>2648</v>
      </c>
      <c r="C31" s="55">
        <f>'Income Statement'!C31</f>
        <v>2981</v>
      </c>
      <c r="D31" s="56">
        <f>D135</f>
        <v>3272.7868344705316</v>
      </c>
      <c r="E31" s="56">
        <f t="shared" ref="E31:H31" si="10">E135</f>
        <v>3600.0655179175851</v>
      </c>
      <c r="F31" s="56">
        <f t="shared" si="10"/>
        <v>3960.0720697093434</v>
      </c>
      <c r="G31" s="56">
        <f t="shared" si="10"/>
        <v>4356.0792766802788</v>
      </c>
      <c r="H31" s="56">
        <f t="shared" si="10"/>
        <v>4791.6872043483063</v>
      </c>
    </row>
    <row r="32" spans="1:8" x14ac:dyDescent="0.2">
      <c r="A32" s="54" t="s">
        <v>73</v>
      </c>
      <c r="B32" s="55">
        <f>'Income Statement'!B32</f>
        <v>0</v>
      </c>
      <c r="C32" s="55">
        <f>'Income Statement'!C32</f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</row>
    <row r="33" spans="1:10" x14ac:dyDescent="0.2">
      <c r="A33" s="57" t="s">
        <v>8</v>
      </c>
      <c r="B33" s="58">
        <f>SUM(B30:B32)</f>
        <v>6271</v>
      </c>
      <c r="C33" s="58">
        <f>SUM(C30:C32)</f>
        <v>7404</v>
      </c>
      <c r="D33" s="58">
        <f t="shared" ref="D33:H33" si="11">SUM(D30:D32)</f>
        <v>7940.0354187933226</v>
      </c>
      <c r="E33" s="58">
        <f t="shared" si="11"/>
        <v>8734.0389606726567</v>
      </c>
      <c r="F33" s="58">
        <f t="shared" si="11"/>
        <v>9607.4428567399264</v>
      </c>
      <c r="G33" s="58">
        <f t="shared" si="11"/>
        <v>10568.187142413914</v>
      </c>
      <c r="H33" s="58">
        <f t="shared" si="11"/>
        <v>11625.005856655305</v>
      </c>
      <c r="J33" s="49"/>
    </row>
    <row r="34" spans="1:10" ht="3" customHeight="1" x14ac:dyDescent="0.2"/>
    <row r="35" spans="1:10" x14ac:dyDescent="0.2">
      <c r="A35" s="35" t="s">
        <v>51</v>
      </c>
      <c r="B35" s="36">
        <f t="shared" ref="B35:H35" si="12">B5</f>
        <v>2021</v>
      </c>
      <c r="C35" s="36">
        <f t="shared" si="12"/>
        <v>2022</v>
      </c>
      <c r="D35" s="36">
        <f t="shared" si="12"/>
        <v>2023</v>
      </c>
      <c r="E35" s="36">
        <f t="shared" si="12"/>
        <v>2024</v>
      </c>
      <c r="F35" s="36">
        <f t="shared" si="12"/>
        <v>2025</v>
      </c>
      <c r="G35" s="36">
        <f t="shared" si="12"/>
        <v>2026</v>
      </c>
      <c r="H35" s="36">
        <f t="shared" si="12"/>
        <v>2027</v>
      </c>
    </row>
    <row r="36" spans="1:10" ht="3" customHeight="1" x14ac:dyDescent="0.2"/>
    <row r="37" spans="1:10" x14ac:dyDescent="0.2">
      <c r="A37" s="5" t="s">
        <v>9</v>
      </c>
      <c r="B37" s="11"/>
      <c r="C37" s="11"/>
    </row>
    <row r="38" spans="1:10" x14ac:dyDescent="0.2">
      <c r="A38" s="19" t="s">
        <v>10</v>
      </c>
      <c r="B38" s="10">
        <f>'Balance Sheet'!B10</f>
        <v>1773</v>
      </c>
      <c r="C38" s="10">
        <f>'Balance Sheet'!C10</f>
        <v>2000</v>
      </c>
      <c r="D38" s="8">
        <f ca="1">D100</f>
        <v>1968.560319480679</v>
      </c>
      <c r="E38" s="8">
        <f ca="1">E100</f>
        <v>3325.7763870559793</v>
      </c>
      <c r="F38" s="8">
        <f ca="1">F100</f>
        <v>4816.8140613888136</v>
      </c>
      <c r="G38" s="8">
        <f ca="1">G100</f>
        <v>6502.4555031549262</v>
      </c>
      <c r="H38" s="8">
        <f ca="1">H100</f>
        <v>8449.5610890976513</v>
      </c>
      <c r="J38" s="8"/>
    </row>
    <row r="39" spans="1:10" x14ac:dyDescent="0.2">
      <c r="A39" s="19" t="s">
        <v>11</v>
      </c>
      <c r="B39" s="10">
        <f>'Balance Sheet'!B11</f>
        <v>7750</v>
      </c>
      <c r="C39" s="10">
        <f>'Balance Sheet'!C11</f>
        <v>8852</v>
      </c>
      <c r="D39" s="10">
        <f>D7/365*D69</f>
        <v>9648.654934723043</v>
      </c>
      <c r="E39" s="10">
        <f t="shared" ref="E39:H39" si="13">E7/365*E69</f>
        <v>10613.520428195348</v>
      </c>
      <c r="F39" s="10">
        <f t="shared" si="13"/>
        <v>11674.872471014884</v>
      </c>
      <c r="G39" s="10">
        <f t="shared" si="13"/>
        <v>12842.359718116375</v>
      </c>
      <c r="H39" s="10">
        <f t="shared" si="13"/>
        <v>14126.595689928014</v>
      </c>
      <c r="J39" s="8"/>
    </row>
    <row r="40" spans="1:10" x14ac:dyDescent="0.2">
      <c r="A40" s="19" t="s">
        <v>12</v>
      </c>
      <c r="B40" s="10">
        <f>'Balance Sheet'!B12</f>
        <v>4800</v>
      </c>
      <c r="C40" s="10">
        <f>'Balance Sheet'!C12</f>
        <v>5700</v>
      </c>
      <c r="D40" s="10">
        <f>D10/365*D70</f>
        <v>6095.2569001378552</v>
      </c>
      <c r="E40" s="10">
        <f t="shared" ref="E40:H40" si="14">E10/365*E70</f>
        <v>6704.7825901516408</v>
      </c>
      <c r="F40" s="10">
        <f t="shared" si="14"/>
        <v>7375.2608491668052</v>
      </c>
      <c r="G40" s="10">
        <f t="shared" si="14"/>
        <v>8112.7869340834859</v>
      </c>
      <c r="H40" s="10">
        <f t="shared" si="14"/>
        <v>8924.0656274918365</v>
      </c>
      <c r="J40" s="8"/>
    </row>
    <row r="41" spans="1:10" x14ac:dyDescent="0.2">
      <c r="A41" s="19" t="s">
        <v>38</v>
      </c>
      <c r="B41" s="10">
        <f>'Balance Sheet'!B13</f>
        <v>456</v>
      </c>
      <c r="C41" s="10">
        <f>'Balance Sheet'!C13</f>
        <v>1849</v>
      </c>
      <c r="D41" s="8">
        <f>C41</f>
        <v>1849</v>
      </c>
      <c r="E41" s="8">
        <f t="shared" ref="E41:H41" si="15">D41</f>
        <v>1849</v>
      </c>
      <c r="F41" s="8">
        <f t="shared" si="15"/>
        <v>1849</v>
      </c>
      <c r="G41" s="8">
        <f t="shared" si="15"/>
        <v>1849</v>
      </c>
      <c r="H41" s="8">
        <f t="shared" si="15"/>
        <v>1849</v>
      </c>
      <c r="J41" s="8"/>
    </row>
    <row r="42" spans="1:10" x14ac:dyDescent="0.2">
      <c r="A42" s="17" t="s">
        <v>13</v>
      </c>
      <c r="B42" s="16">
        <f>SUM(B38:B41)</f>
        <v>14779</v>
      </c>
      <c r="C42" s="16">
        <f>SUM(C38:C41)</f>
        <v>18401</v>
      </c>
      <c r="D42" s="16">
        <f ca="1">SUM(D38:D41)</f>
        <v>19561.472154341576</v>
      </c>
      <c r="E42" s="16">
        <f ca="1">SUM(E38:E41)</f>
        <v>22493.079405402968</v>
      </c>
      <c r="F42" s="16">
        <f ca="1">SUM(F38:F41)</f>
        <v>25715.947381570506</v>
      </c>
      <c r="G42" s="16">
        <f ca="1">SUM(G38:G41)</f>
        <v>29306.602155354791</v>
      </c>
      <c r="H42" s="16">
        <f ca="1">SUM(H38:H41)</f>
        <v>33349.222406517503</v>
      </c>
      <c r="J42" s="8"/>
    </row>
    <row r="43" spans="1:10" ht="3" customHeight="1" x14ac:dyDescent="0.2">
      <c r="A43" s="1"/>
      <c r="B43" s="11"/>
      <c r="C43" s="11"/>
      <c r="J43" s="8"/>
    </row>
    <row r="44" spans="1:10" x14ac:dyDescent="0.2">
      <c r="A44" s="5" t="s">
        <v>36</v>
      </c>
      <c r="B44" s="11"/>
      <c r="C44" s="11"/>
      <c r="J44" s="8"/>
    </row>
    <row r="45" spans="1:10" x14ac:dyDescent="0.2">
      <c r="A45" s="19" t="s">
        <v>49</v>
      </c>
      <c r="B45" s="10">
        <f>'Balance Sheet'!B17</f>
        <v>10913</v>
      </c>
      <c r="C45" s="10">
        <f>'Balance Sheet'!C17</f>
        <v>10932</v>
      </c>
      <c r="D45" s="8">
        <f>D138</f>
        <v>11159.213165529469</v>
      </c>
      <c r="E45" s="8">
        <f t="shared" ref="E45:H45" si="16">E138</f>
        <v>11559.147647611884</v>
      </c>
      <c r="F45" s="8">
        <f t="shared" si="16"/>
        <v>12099.07557790254</v>
      </c>
      <c r="G45" s="8">
        <f t="shared" si="16"/>
        <v>12742.996301222263</v>
      </c>
      <c r="H45" s="8">
        <f t="shared" si="16"/>
        <v>13451.30909687396</v>
      </c>
      <c r="J45" s="8"/>
    </row>
    <row r="46" spans="1:10" ht="3" customHeight="1" x14ac:dyDescent="0.2">
      <c r="B46" s="11"/>
      <c r="C46" s="11"/>
      <c r="J46" s="8"/>
    </row>
    <row r="47" spans="1:10" x14ac:dyDescent="0.2">
      <c r="A47" s="18" t="s">
        <v>14</v>
      </c>
      <c r="B47" s="16">
        <f>B42+B45</f>
        <v>25692</v>
      </c>
      <c r="C47" s="16">
        <f>C42+C45</f>
        <v>29333</v>
      </c>
      <c r="D47" s="16">
        <f ca="1">D42+D45</f>
        <v>30720.685319871045</v>
      </c>
      <c r="E47" s="16">
        <f ca="1">E42+E45</f>
        <v>34052.227053014853</v>
      </c>
      <c r="F47" s="16">
        <f ca="1">F42+F45</f>
        <v>37815.022959473048</v>
      </c>
      <c r="G47" s="16">
        <f ca="1">G42+G45</f>
        <v>42049.598456577056</v>
      </c>
      <c r="H47" s="16">
        <f ca="1">H42+H45</f>
        <v>46800.531503391467</v>
      </c>
      <c r="J47" s="8"/>
    </row>
    <row r="48" spans="1:10" ht="3" customHeight="1" x14ac:dyDescent="0.2">
      <c r="B48" s="11"/>
      <c r="C48" s="11"/>
      <c r="J48" s="8"/>
    </row>
    <row r="49" spans="1:10" x14ac:dyDescent="0.2">
      <c r="A49" s="5" t="s">
        <v>16</v>
      </c>
      <c r="B49" s="11"/>
      <c r="C49" s="11"/>
      <c r="J49" s="8"/>
    </row>
    <row r="50" spans="1:10" x14ac:dyDescent="0.2">
      <c r="A50" s="19" t="s">
        <v>33</v>
      </c>
      <c r="B50" s="10">
        <f>'Balance Sheet'!B24</f>
        <v>5665</v>
      </c>
      <c r="C50" s="10">
        <f>'Balance Sheet'!C24</f>
        <v>6656</v>
      </c>
      <c r="D50" s="10">
        <f>D10/365*D71</f>
        <v>7154.5899535301005</v>
      </c>
      <c r="E50" s="10">
        <f t="shared" ref="E50:H50" si="17">E10/365*E71</f>
        <v>7870.0489488831099</v>
      </c>
      <c r="F50" s="10">
        <f t="shared" si="17"/>
        <v>8657.0538437714222</v>
      </c>
      <c r="G50" s="10">
        <f t="shared" si="17"/>
        <v>9522.7592281485649</v>
      </c>
      <c r="H50" s="10">
        <f t="shared" si="17"/>
        <v>10475.035150963424</v>
      </c>
      <c r="J50" s="8"/>
    </row>
    <row r="51" spans="1:10" x14ac:dyDescent="0.2">
      <c r="A51" s="19" t="s">
        <v>48</v>
      </c>
      <c r="B51" s="10">
        <f>'Balance Sheet'!B25</f>
        <v>792</v>
      </c>
      <c r="C51" s="10">
        <f>'Balance Sheet'!C25</f>
        <v>1375.2681067344347</v>
      </c>
      <c r="D51" s="66">
        <f ca="1">D113</f>
        <v>0</v>
      </c>
      <c r="E51" s="66">
        <f ca="1">E113</f>
        <v>0</v>
      </c>
      <c r="F51" s="66">
        <f ca="1">F113</f>
        <v>0</v>
      </c>
      <c r="G51" s="66">
        <f ca="1">G113</f>
        <v>0</v>
      </c>
      <c r="H51" s="66">
        <f ca="1">H113</f>
        <v>0</v>
      </c>
      <c r="J51" s="8"/>
    </row>
    <row r="52" spans="1:10" x14ac:dyDescent="0.2">
      <c r="A52" s="19" t="s">
        <v>39</v>
      </c>
      <c r="B52" s="10">
        <f>'Balance Sheet'!B26</f>
        <v>500</v>
      </c>
      <c r="C52" s="10">
        <f>'Balance Sheet'!C26</f>
        <v>500</v>
      </c>
      <c r="D52" s="66">
        <f>D118</f>
        <v>500</v>
      </c>
      <c r="E52" s="66">
        <f t="shared" ref="E52:H52" si="18">E118</f>
        <v>500</v>
      </c>
      <c r="F52" s="66">
        <f t="shared" si="18"/>
        <v>500</v>
      </c>
      <c r="G52" s="66">
        <f t="shared" si="18"/>
        <v>500</v>
      </c>
      <c r="H52" s="66">
        <f t="shared" si="18"/>
        <v>500</v>
      </c>
      <c r="J52" s="8"/>
    </row>
    <row r="53" spans="1:10" x14ac:dyDescent="0.2">
      <c r="A53" s="17" t="s">
        <v>35</v>
      </c>
      <c r="B53" s="16">
        <f>SUM(B50:B52)</f>
        <v>6957</v>
      </c>
      <c r="C53" s="16">
        <f>SUM(C50:C52)</f>
        <v>8531.2681067344347</v>
      </c>
      <c r="D53" s="16">
        <f ca="1">SUM(D50:D52)</f>
        <v>7654.5899535301005</v>
      </c>
      <c r="E53" s="16">
        <f ca="1">SUM(E50:E52)</f>
        <v>8370.0489488831099</v>
      </c>
      <c r="F53" s="16">
        <f ca="1">SUM(F50:F52)</f>
        <v>9157.0538437714222</v>
      </c>
      <c r="G53" s="16">
        <f ca="1">SUM(G50:G52)</f>
        <v>10022.759228148565</v>
      </c>
      <c r="H53" s="16">
        <f ca="1">SUM(H50:H52)</f>
        <v>10975.035150963424</v>
      </c>
      <c r="J53" s="8"/>
    </row>
    <row r="54" spans="1:10" ht="3" customHeight="1" x14ac:dyDescent="0.2">
      <c r="A54" s="1"/>
      <c r="B54" s="11"/>
      <c r="C54" s="11"/>
      <c r="J54" s="8"/>
    </row>
    <row r="55" spans="1:10" x14ac:dyDescent="0.2">
      <c r="A55" s="5" t="s">
        <v>17</v>
      </c>
      <c r="B55" s="11"/>
      <c r="C55" s="11"/>
      <c r="J55" s="8"/>
    </row>
    <row r="56" spans="1:10" x14ac:dyDescent="0.2">
      <c r="A56" s="19" t="s">
        <v>40</v>
      </c>
      <c r="B56" s="10">
        <f>'Balance Sheet'!B30</f>
        <v>5000</v>
      </c>
      <c r="C56" s="10">
        <f>'Balance Sheet'!C30</f>
        <v>4500</v>
      </c>
      <c r="D56" s="8">
        <f>D117</f>
        <v>4000</v>
      </c>
      <c r="E56" s="8">
        <f t="shared" ref="E56:H56" si="19">E117</f>
        <v>3500</v>
      </c>
      <c r="F56" s="8">
        <f t="shared" si="19"/>
        <v>3000</v>
      </c>
      <c r="G56" s="8">
        <f t="shared" si="19"/>
        <v>2500</v>
      </c>
      <c r="H56" s="8">
        <f t="shared" si="19"/>
        <v>2000</v>
      </c>
      <c r="J56" s="8"/>
    </row>
    <row r="57" spans="1:10" ht="3" customHeight="1" x14ac:dyDescent="0.2">
      <c r="A57" s="1"/>
      <c r="B57" s="11"/>
      <c r="C57" s="11"/>
      <c r="J57" s="8"/>
    </row>
    <row r="58" spans="1:10" x14ac:dyDescent="0.2">
      <c r="A58" s="18" t="s">
        <v>18</v>
      </c>
      <c r="B58" s="16">
        <f>B56+B53</f>
        <v>11957</v>
      </c>
      <c r="C58" s="16">
        <f>C56+C53</f>
        <v>13031.268106734435</v>
      </c>
      <c r="D58" s="16">
        <f ca="1">D56+D53</f>
        <v>11654.5899535301</v>
      </c>
      <c r="E58" s="16">
        <f ca="1">E56+E53</f>
        <v>11870.04894888311</v>
      </c>
      <c r="F58" s="16">
        <f ca="1">F56+F53</f>
        <v>12157.053843771422</v>
      </c>
      <c r="G58" s="16">
        <f ca="1">G56+G53</f>
        <v>12522.759228148565</v>
      </c>
      <c r="H58" s="16">
        <f ca="1">H56+H53</f>
        <v>12975.035150963424</v>
      </c>
      <c r="J58" s="8"/>
    </row>
    <row r="59" spans="1:10" ht="3" customHeight="1" x14ac:dyDescent="0.2">
      <c r="B59" s="11"/>
      <c r="C59" s="11"/>
      <c r="D59" s="11"/>
      <c r="E59" s="11"/>
      <c r="F59" s="11"/>
      <c r="G59" s="11"/>
      <c r="H59" s="11"/>
      <c r="J59" s="8"/>
    </row>
    <row r="60" spans="1:10" x14ac:dyDescent="0.2">
      <c r="A60" s="1" t="s">
        <v>83</v>
      </c>
      <c r="B60" s="10">
        <f>'Balance Sheet'!B35</f>
        <v>15</v>
      </c>
      <c r="C60" s="10">
        <f>'Balance Sheet'!C35</f>
        <v>15</v>
      </c>
      <c r="D60" s="8">
        <f>C60</f>
        <v>15</v>
      </c>
      <c r="E60" s="8">
        <f t="shared" ref="E60:H60" si="20">D60</f>
        <v>15</v>
      </c>
      <c r="F60" s="8">
        <f t="shared" si="20"/>
        <v>15</v>
      </c>
      <c r="G60" s="8">
        <f t="shared" si="20"/>
        <v>15</v>
      </c>
      <c r="H60" s="8">
        <f t="shared" si="20"/>
        <v>15</v>
      </c>
      <c r="J60" s="8"/>
    </row>
    <row r="61" spans="1:10" x14ac:dyDescent="0.2">
      <c r="A61" s="1" t="s">
        <v>84</v>
      </c>
      <c r="B61" s="10">
        <f>'Balance Sheet'!B36</f>
        <v>5000</v>
      </c>
      <c r="C61" s="10">
        <f>'Balance Sheet'!C36</f>
        <v>5000</v>
      </c>
      <c r="D61" s="8">
        <f>C61</f>
        <v>5000</v>
      </c>
      <c r="E61" s="8">
        <f t="shared" ref="E61:H61" si="21">D61</f>
        <v>5000</v>
      </c>
      <c r="F61" s="8">
        <f t="shared" si="21"/>
        <v>5000</v>
      </c>
      <c r="G61" s="8">
        <f t="shared" si="21"/>
        <v>5000</v>
      </c>
      <c r="H61" s="8">
        <f t="shared" si="21"/>
        <v>5000</v>
      </c>
      <c r="J61" s="8"/>
    </row>
    <row r="62" spans="1:10" x14ac:dyDescent="0.2">
      <c r="A62" s="1" t="s">
        <v>82</v>
      </c>
      <c r="B62" s="10">
        <f>'Balance Sheet'!B37</f>
        <v>8720</v>
      </c>
      <c r="C62" s="10">
        <f>'Balance Sheet'!C37</f>
        <v>11286.731893265565</v>
      </c>
      <c r="D62" s="8">
        <f ca="1">C62+D28</f>
        <v>14051.095366340945</v>
      </c>
      <c r="E62" s="8">
        <f ca="1">D62+E28</f>
        <v>17167.178104131744</v>
      </c>
      <c r="F62" s="8">
        <f ca="1">E62+F28</f>
        <v>20642.969115701624</v>
      </c>
      <c r="G62" s="8">
        <f ca="1">F62+G28</f>
        <v>24511.839228428486</v>
      </c>
      <c r="H62" s="8">
        <f ca="1">G62+H28</f>
        <v>28810.496352428036</v>
      </c>
      <c r="J62" s="8"/>
    </row>
    <row r="63" spans="1:10" x14ac:dyDescent="0.2">
      <c r="A63" s="18" t="s">
        <v>20</v>
      </c>
      <c r="B63" s="16">
        <f>SUM(B60:B62)</f>
        <v>13735</v>
      </c>
      <c r="C63" s="16">
        <f>SUM(C60:C62)</f>
        <v>16301.731893265565</v>
      </c>
      <c r="D63" s="16">
        <f ca="1">SUM(D60:D62)</f>
        <v>19066.095366340945</v>
      </c>
      <c r="E63" s="16">
        <f ca="1">SUM(E60:E62)</f>
        <v>22182.178104131744</v>
      </c>
      <c r="F63" s="16">
        <f ca="1">SUM(F60:F62)</f>
        <v>25657.969115701624</v>
      </c>
      <c r="G63" s="16">
        <f ca="1">SUM(G60:G62)</f>
        <v>29526.839228428486</v>
      </c>
      <c r="H63" s="16">
        <f ca="1">SUM(H60:H62)</f>
        <v>33825.496352428032</v>
      </c>
      <c r="J63" s="8"/>
    </row>
    <row r="64" spans="1:10" ht="3" customHeight="1" x14ac:dyDescent="0.2">
      <c r="B64" s="11"/>
      <c r="C64" s="11"/>
      <c r="J64" s="8"/>
    </row>
    <row r="65" spans="1:10" x14ac:dyDescent="0.2">
      <c r="A65" s="4" t="s">
        <v>21</v>
      </c>
      <c r="B65" s="9">
        <f>B63+B58</f>
        <v>25692</v>
      </c>
      <c r="C65" s="9">
        <f>C63+C58</f>
        <v>29333</v>
      </c>
      <c r="D65" s="9">
        <f ca="1">D63+D58</f>
        <v>30720.685319871045</v>
      </c>
      <c r="E65" s="9">
        <f ca="1">E63+E58</f>
        <v>34052.227053014853</v>
      </c>
      <c r="F65" s="9">
        <f ca="1">F63+F58</f>
        <v>37815.022959473048</v>
      </c>
      <c r="G65" s="9">
        <f ca="1">G63+G58</f>
        <v>42049.598456577049</v>
      </c>
      <c r="H65" s="9">
        <f ca="1">H63+H58</f>
        <v>46800.531503391452</v>
      </c>
      <c r="J65" s="8"/>
    </row>
    <row r="66" spans="1:10" s="15" customFormat="1" x14ac:dyDescent="0.2">
      <c r="A66" s="47" t="s">
        <v>22</v>
      </c>
      <c r="B66" s="48">
        <f>B47-B65</f>
        <v>0</v>
      </c>
      <c r="C66" s="48">
        <f>C47-C65</f>
        <v>0</v>
      </c>
      <c r="D66" s="48">
        <f ca="1">D47-D65</f>
        <v>0</v>
      </c>
      <c r="E66" s="48">
        <f ca="1">E47-E65</f>
        <v>0</v>
      </c>
      <c r="F66" s="48">
        <f ca="1">F47-F65</f>
        <v>0</v>
      </c>
      <c r="G66" s="48">
        <f ca="1">G47-G65</f>
        <v>0</v>
      </c>
      <c r="H66" s="48">
        <f ca="1">H47-H65</f>
        <v>0</v>
      </c>
      <c r="J66" s="8"/>
    </row>
    <row r="67" spans="1:10" ht="3" customHeight="1" x14ac:dyDescent="0.2">
      <c r="B67" s="11"/>
      <c r="C67" s="11"/>
    </row>
    <row r="68" spans="1:10" x14ac:dyDescent="0.2">
      <c r="A68" s="59" t="s">
        <v>23</v>
      </c>
      <c r="B68" s="60"/>
      <c r="C68" s="60"/>
      <c r="D68" s="54"/>
      <c r="E68" s="54"/>
      <c r="F68" s="54"/>
      <c r="G68" s="54"/>
      <c r="H68" s="54"/>
    </row>
    <row r="69" spans="1:10" x14ac:dyDescent="0.2">
      <c r="A69" s="61" t="s">
        <v>24</v>
      </c>
      <c r="B69" s="55">
        <f>B39/(B7/365)</f>
        <v>37.994278192661042</v>
      </c>
      <c r="C69" s="55">
        <f>C39/(C7/365)</f>
        <v>38.69807885785464</v>
      </c>
      <c r="D69" s="56">
        <f>AVERAGE($B69:$C69)</f>
        <v>38.346178525257841</v>
      </c>
      <c r="E69" s="56">
        <f t="shared" ref="E69:H71" si="22">AVERAGE($B69:$C69)</f>
        <v>38.346178525257841</v>
      </c>
      <c r="F69" s="56">
        <f t="shared" si="22"/>
        <v>38.346178525257841</v>
      </c>
      <c r="G69" s="56">
        <f t="shared" si="22"/>
        <v>38.346178525257841</v>
      </c>
      <c r="H69" s="56">
        <f t="shared" si="22"/>
        <v>38.346178525257841</v>
      </c>
    </row>
    <row r="70" spans="1:10" x14ac:dyDescent="0.2">
      <c r="A70" s="61" t="s">
        <v>80</v>
      </c>
      <c r="B70" s="55">
        <f>B40/(B10/365)</f>
        <v>27.188081936685286</v>
      </c>
      <c r="C70" s="55">
        <f>C40/(C10/365)</f>
        <v>28.687055319618334</v>
      </c>
      <c r="D70" s="56">
        <f t="shared" ref="D70:D71" si="23">AVERAGE($B70:$C70)</f>
        <v>27.937568628151809</v>
      </c>
      <c r="E70" s="56">
        <f t="shared" si="22"/>
        <v>27.937568628151809</v>
      </c>
      <c r="F70" s="56">
        <f t="shared" si="22"/>
        <v>27.937568628151809</v>
      </c>
      <c r="G70" s="56">
        <f t="shared" si="22"/>
        <v>27.937568628151809</v>
      </c>
      <c r="H70" s="56">
        <f t="shared" si="22"/>
        <v>27.937568628151809</v>
      </c>
    </row>
    <row r="71" spans="1:10" x14ac:dyDescent="0.2">
      <c r="A71" s="61" t="s">
        <v>25</v>
      </c>
      <c r="B71" s="55">
        <f>B50/(B10/365)</f>
        <v>32.087600869025451</v>
      </c>
      <c r="C71" s="55">
        <f>C50/(C10/365)</f>
        <v>33.498428106557832</v>
      </c>
      <c r="D71" s="56">
        <f t="shared" si="23"/>
        <v>32.793014487791638</v>
      </c>
      <c r="E71" s="56">
        <f t="shared" si="22"/>
        <v>32.793014487791638</v>
      </c>
      <c r="F71" s="56">
        <f t="shared" si="22"/>
        <v>32.793014487791638</v>
      </c>
      <c r="G71" s="56">
        <f t="shared" si="22"/>
        <v>32.793014487791638</v>
      </c>
      <c r="H71" s="56">
        <f t="shared" si="22"/>
        <v>32.793014487791638</v>
      </c>
    </row>
    <row r="72" spans="1:10" ht="5.0999999999999996" customHeight="1" x14ac:dyDescent="0.2"/>
    <row r="73" spans="1:10" x14ac:dyDescent="0.2">
      <c r="A73" s="35" t="s">
        <v>52</v>
      </c>
      <c r="B73" s="36">
        <f t="shared" ref="B73:H73" si="24">B35</f>
        <v>2021</v>
      </c>
      <c r="C73" s="36">
        <f t="shared" si="24"/>
        <v>2022</v>
      </c>
      <c r="D73" s="36">
        <f t="shared" si="24"/>
        <v>2023</v>
      </c>
      <c r="E73" s="36">
        <f t="shared" si="24"/>
        <v>2024</v>
      </c>
      <c r="F73" s="36">
        <f t="shared" si="24"/>
        <v>2025</v>
      </c>
      <c r="G73" s="36">
        <f t="shared" si="24"/>
        <v>2026</v>
      </c>
      <c r="H73" s="36">
        <f t="shared" si="24"/>
        <v>2027</v>
      </c>
    </row>
    <row r="74" spans="1:10" ht="3" customHeight="1" x14ac:dyDescent="0.2"/>
    <row r="75" spans="1:10" ht="11.25" customHeight="1" x14ac:dyDescent="0.2">
      <c r="A75" s="4" t="s">
        <v>41</v>
      </c>
    </row>
    <row r="76" spans="1:10" x14ac:dyDescent="0.2">
      <c r="A76" s="5" t="s">
        <v>7</v>
      </c>
      <c r="B76" s="8"/>
      <c r="C76" s="8"/>
      <c r="D76" s="8">
        <f ca="1">D28</f>
        <v>2764.3634730753802</v>
      </c>
      <c r="E76" s="8">
        <f ca="1">E28</f>
        <v>3116.0827377907972</v>
      </c>
      <c r="F76" s="8">
        <f ca="1">F28</f>
        <v>3475.7910115698787</v>
      </c>
      <c r="G76" s="8">
        <f ca="1">G28</f>
        <v>3868.8701127268628</v>
      </c>
      <c r="H76" s="8">
        <f ca="1">H28</f>
        <v>4298.6571239995501</v>
      </c>
    </row>
    <row r="77" spans="1:10" ht="3" customHeight="1" x14ac:dyDescent="0.2">
      <c r="A77" s="5"/>
      <c r="B77" s="8"/>
      <c r="C77" s="8"/>
      <c r="D77" s="8"/>
      <c r="E77" s="8"/>
      <c r="F77" s="8"/>
      <c r="G77" s="8"/>
      <c r="H77" s="8"/>
    </row>
    <row r="78" spans="1:10" x14ac:dyDescent="0.2">
      <c r="A78" s="25" t="s">
        <v>26</v>
      </c>
    </row>
    <row r="79" spans="1:10" x14ac:dyDescent="0.2">
      <c r="A79" s="19" t="s">
        <v>72</v>
      </c>
      <c r="B79" s="8"/>
      <c r="C79" s="8"/>
      <c r="D79" s="8">
        <f>D135</f>
        <v>3272.7868344705316</v>
      </c>
      <c r="E79" s="8">
        <f t="shared" ref="E79:H79" si="25">E135</f>
        <v>3600.0655179175851</v>
      </c>
      <c r="F79" s="8">
        <f t="shared" si="25"/>
        <v>3960.0720697093434</v>
      </c>
      <c r="G79" s="8">
        <f t="shared" si="25"/>
        <v>4356.0792766802788</v>
      </c>
      <c r="H79" s="8">
        <f t="shared" si="25"/>
        <v>4791.6872043483063</v>
      </c>
    </row>
    <row r="80" spans="1:10" x14ac:dyDescent="0.2">
      <c r="A80" s="19" t="s">
        <v>73</v>
      </c>
      <c r="B80" s="8"/>
      <c r="C80" s="8"/>
      <c r="D80" s="8">
        <v>0</v>
      </c>
      <c r="E80" s="8">
        <v>0</v>
      </c>
      <c r="F80" s="8">
        <v>0</v>
      </c>
      <c r="G80" s="8">
        <v>0</v>
      </c>
      <c r="H80" s="8">
        <v>0</v>
      </c>
    </row>
    <row r="81" spans="1:8" ht="3" customHeight="1" x14ac:dyDescent="0.2"/>
    <row r="82" spans="1:8" x14ac:dyDescent="0.2">
      <c r="A82" s="25" t="s">
        <v>27</v>
      </c>
    </row>
    <row r="83" spans="1:8" x14ac:dyDescent="0.2">
      <c r="A83" s="19" t="s">
        <v>11</v>
      </c>
      <c r="D83" s="8">
        <f>C39-D39</f>
        <v>-796.65493472304297</v>
      </c>
      <c r="E83" s="8">
        <f t="shared" ref="E83:H83" si="26">D39-E39</f>
        <v>-964.86549347230539</v>
      </c>
      <c r="F83" s="8">
        <f t="shared" si="26"/>
        <v>-1061.3520428195352</v>
      </c>
      <c r="G83" s="8">
        <f t="shared" si="26"/>
        <v>-1167.4872471014914</v>
      </c>
      <c r="H83" s="8">
        <f t="shared" si="26"/>
        <v>-1284.2359718116386</v>
      </c>
    </row>
    <row r="84" spans="1:8" x14ac:dyDescent="0.2">
      <c r="A84" s="19" t="s">
        <v>12</v>
      </c>
      <c r="D84" s="8">
        <f>C40-D40</f>
        <v>-395.25690013785515</v>
      </c>
      <c r="E84" s="8">
        <f t="shared" ref="E84:H84" si="27">D40-E40</f>
        <v>-609.52569001378561</v>
      </c>
      <c r="F84" s="8">
        <f t="shared" si="27"/>
        <v>-670.47825901516444</v>
      </c>
      <c r="G84" s="8">
        <f t="shared" si="27"/>
        <v>-737.5260849166807</v>
      </c>
      <c r="H84" s="8">
        <f t="shared" si="27"/>
        <v>-811.27869340835059</v>
      </c>
    </row>
    <row r="85" spans="1:8" x14ac:dyDescent="0.2">
      <c r="A85" s="19" t="s">
        <v>33</v>
      </c>
      <c r="D85" s="8">
        <f>D50-C50</f>
        <v>498.5899535301005</v>
      </c>
      <c r="E85" s="8">
        <f t="shared" ref="E85:H85" si="28">E50-D50</f>
        <v>715.45899535300941</v>
      </c>
      <c r="F85" s="8">
        <f t="shared" si="28"/>
        <v>787.00489488831226</v>
      </c>
      <c r="G85" s="8">
        <f t="shared" si="28"/>
        <v>865.70538437714276</v>
      </c>
      <c r="H85" s="8">
        <f t="shared" si="28"/>
        <v>952.27592281485886</v>
      </c>
    </row>
    <row r="86" spans="1:8" ht="5.0999999999999996" customHeight="1" x14ac:dyDescent="0.2">
      <c r="A86" s="44"/>
      <c r="B86" s="4"/>
      <c r="C86" s="4"/>
      <c r="D86" s="7"/>
      <c r="E86" s="7"/>
      <c r="F86" s="7"/>
      <c r="G86" s="7"/>
      <c r="H86" s="7"/>
    </row>
    <row r="87" spans="1:8" x14ac:dyDescent="0.2">
      <c r="A87" s="43" t="s">
        <v>43</v>
      </c>
      <c r="B87" s="23"/>
      <c r="C87" s="23"/>
      <c r="D87" s="24">
        <f ca="1">SUM(D76,D79:D80,D83:D85)</f>
        <v>5343.8284262151137</v>
      </c>
      <c r="E87" s="24">
        <f ca="1">SUM(E76,E79:E80,E83:E85)</f>
        <v>5857.2160675753003</v>
      </c>
      <c r="F87" s="24">
        <f ca="1">SUM(F76,F79:F80,F83:F85)</f>
        <v>6491.0376743328343</v>
      </c>
      <c r="G87" s="24">
        <f ca="1">SUM(G76,G79:G80,G83:G85)</f>
        <v>7185.6414417661126</v>
      </c>
      <c r="H87" s="24">
        <f ca="1">SUM(H76,H79:H80,H83:H85)</f>
        <v>7947.1055859427252</v>
      </c>
    </row>
    <row r="88" spans="1:8" ht="3" customHeight="1" x14ac:dyDescent="0.2"/>
    <row r="89" spans="1:8" x14ac:dyDescent="0.2">
      <c r="A89" s="4" t="s">
        <v>42</v>
      </c>
      <c r="D89" s="8"/>
    </row>
    <row r="90" spans="1:8" x14ac:dyDescent="0.2">
      <c r="A90" s="19" t="s">
        <v>53</v>
      </c>
      <c r="D90" s="66">
        <f>-D133</f>
        <v>-3500</v>
      </c>
      <c r="E90" s="66">
        <f t="shared" ref="E90:H90" si="29">-E133</f>
        <v>-4000</v>
      </c>
      <c r="F90" s="66">
        <f t="shared" si="29"/>
        <v>-4500</v>
      </c>
      <c r="G90" s="66">
        <f t="shared" si="29"/>
        <v>-5000</v>
      </c>
      <c r="H90" s="66">
        <f t="shared" si="29"/>
        <v>-5500</v>
      </c>
    </row>
    <row r="91" spans="1:8" x14ac:dyDescent="0.2">
      <c r="A91" s="43" t="s">
        <v>44</v>
      </c>
      <c r="B91" s="23"/>
      <c r="C91" s="23"/>
      <c r="D91" s="24">
        <f>D90</f>
        <v>-3500</v>
      </c>
      <c r="E91" s="24">
        <f t="shared" ref="E91:H91" si="30">E90</f>
        <v>-4000</v>
      </c>
      <c r="F91" s="24">
        <f t="shared" si="30"/>
        <v>-4500</v>
      </c>
      <c r="G91" s="24">
        <f t="shared" si="30"/>
        <v>-5000</v>
      </c>
      <c r="H91" s="24">
        <f t="shared" si="30"/>
        <v>-5500</v>
      </c>
    </row>
    <row r="92" spans="1:8" ht="3" customHeight="1" x14ac:dyDescent="0.2"/>
    <row r="93" spans="1:8" x14ac:dyDescent="0.2">
      <c r="A93" s="4" t="s">
        <v>45</v>
      </c>
    </row>
    <row r="94" spans="1:8" x14ac:dyDescent="0.2">
      <c r="A94" s="19" t="s">
        <v>91</v>
      </c>
      <c r="D94" s="8">
        <f ca="1">D113-C113</f>
        <v>-1375.2681067344347</v>
      </c>
      <c r="E94" s="8">
        <f ca="1">E113-D113</f>
        <v>0</v>
      </c>
      <c r="F94" s="8">
        <f ca="1">F113-E113</f>
        <v>0</v>
      </c>
      <c r="G94" s="8">
        <f ca="1">G113-F113</f>
        <v>0</v>
      </c>
      <c r="H94" s="8">
        <f ca="1">H113-G113</f>
        <v>0</v>
      </c>
    </row>
    <row r="95" spans="1:8" x14ac:dyDescent="0.2">
      <c r="A95" s="19" t="s">
        <v>54</v>
      </c>
      <c r="D95" s="8">
        <f>D117-C117</f>
        <v>-500</v>
      </c>
      <c r="E95" s="8">
        <f t="shared" ref="E95:H95" si="31">E117-D117</f>
        <v>-500</v>
      </c>
      <c r="F95" s="8">
        <f t="shared" si="31"/>
        <v>-500</v>
      </c>
      <c r="G95" s="8">
        <f t="shared" si="31"/>
        <v>-500</v>
      </c>
      <c r="H95" s="8">
        <f t="shared" si="31"/>
        <v>-500</v>
      </c>
    </row>
    <row r="96" spans="1:8" x14ac:dyDescent="0.2">
      <c r="A96" s="43" t="s">
        <v>85</v>
      </c>
      <c r="B96" s="23"/>
      <c r="C96" s="23"/>
      <c r="D96" s="24">
        <f ca="1">SUM(D94:D95)</f>
        <v>-1875.2681067344347</v>
      </c>
      <c r="E96" s="24">
        <f ca="1">SUM(E94:E95)</f>
        <v>-500</v>
      </c>
      <c r="F96" s="24">
        <f ca="1">SUM(F94:F95)</f>
        <v>-500</v>
      </c>
      <c r="G96" s="24">
        <f ca="1">SUM(G94:G95)</f>
        <v>-500</v>
      </c>
      <c r="H96" s="24">
        <f ca="1">SUM(H94:H95)</f>
        <v>-500</v>
      </c>
    </row>
    <row r="97" spans="1:8" ht="3" customHeight="1" x14ac:dyDescent="0.2"/>
    <row r="98" spans="1:8" x14ac:dyDescent="0.2">
      <c r="A98" t="s">
        <v>28</v>
      </c>
      <c r="D98" s="8">
        <f ca="1">D87+D91+D96</f>
        <v>-31.439680519320973</v>
      </c>
      <c r="E98" s="8">
        <f ca="1">E87+E91+E96</f>
        <v>1357.2160675753003</v>
      </c>
      <c r="F98" s="8">
        <f ca="1">F87+F91+F96</f>
        <v>1491.0376743328343</v>
      </c>
      <c r="G98" s="8">
        <f ca="1">G87+G91+G96</f>
        <v>1685.6414417661126</v>
      </c>
      <c r="H98" s="8">
        <f ca="1">H87+H91+H96</f>
        <v>1947.1055859427252</v>
      </c>
    </row>
    <row r="99" spans="1:8" x14ac:dyDescent="0.2">
      <c r="A99" s="26" t="s">
        <v>29</v>
      </c>
      <c r="B99" s="26"/>
      <c r="C99" s="26"/>
      <c r="D99" s="27">
        <f>C38</f>
        <v>2000</v>
      </c>
      <c r="E99" s="27">
        <f ca="1">D38</f>
        <v>1968.560319480679</v>
      </c>
      <c r="F99" s="27">
        <f ca="1">E38</f>
        <v>3325.7763870559793</v>
      </c>
      <c r="G99" s="27">
        <f ca="1">F38</f>
        <v>4816.8140613888136</v>
      </c>
      <c r="H99" s="27">
        <f ca="1">G38</f>
        <v>6502.4555031549262</v>
      </c>
    </row>
    <row r="100" spans="1:8" ht="10.8" thickBot="1" x14ac:dyDescent="0.25">
      <c r="A100" s="28" t="s">
        <v>30</v>
      </c>
      <c r="B100" s="28"/>
      <c r="C100" s="28"/>
      <c r="D100" s="29">
        <f ca="1">SUM(D98:D99)</f>
        <v>1968.560319480679</v>
      </c>
      <c r="E100" s="29">
        <f ca="1">SUM(E98:E99)</f>
        <v>3325.7763870559793</v>
      </c>
      <c r="F100" s="29">
        <f ca="1">SUM(F98:F99)</f>
        <v>4816.8140613888136</v>
      </c>
      <c r="G100" s="29">
        <f ca="1">SUM(G98:G99)</f>
        <v>6502.4555031549262</v>
      </c>
      <c r="H100" s="29">
        <f ca="1">SUM(H98:H99)</f>
        <v>8449.5610890976513</v>
      </c>
    </row>
    <row r="102" spans="1:8" ht="20.399999999999999" x14ac:dyDescent="0.35">
      <c r="A102" s="39" t="s">
        <v>76</v>
      </c>
      <c r="B102" s="38"/>
      <c r="C102" s="38"/>
      <c r="D102" s="38"/>
      <c r="E102" s="38"/>
      <c r="F102" s="38"/>
      <c r="G102" s="38"/>
      <c r="H102" s="38"/>
    </row>
    <row r="103" spans="1:8" ht="12.75" customHeight="1" x14ac:dyDescent="0.35">
      <c r="A103" s="34" t="str">
        <f>A2</f>
        <v>Company Name</v>
      </c>
      <c r="B103" s="38"/>
      <c r="C103" s="38"/>
      <c r="D103" s="38"/>
      <c r="E103" s="38"/>
      <c r="F103" s="38"/>
      <c r="G103" s="38"/>
      <c r="H103" s="38"/>
    </row>
    <row r="104" spans="1:8" ht="12.75" customHeight="1" x14ac:dyDescent="0.35">
      <c r="A104" s="4" t="s">
        <v>79</v>
      </c>
      <c r="B104" s="38"/>
      <c r="C104" s="38"/>
      <c r="D104" s="38"/>
      <c r="E104" s="38"/>
      <c r="F104" s="38"/>
      <c r="G104" s="38"/>
      <c r="H104" s="38"/>
    </row>
    <row r="105" spans="1:8" ht="5.0999999999999996" customHeight="1" x14ac:dyDescent="0.2"/>
    <row r="106" spans="1:8" x14ac:dyDescent="0.2">
      <c r="A106" s="35" t="s">
        <v>55</v>
      </c>
      <c r="B106" s="36">
        <f>'Final Model'!B5</f>
        <v>2021</v>
      </c>
      <c r="C106" s="36">
        <f>'Final Model'!C5</f>
        <v>2022</v>
      </c>
      <c r="D106" s="36">
        <f>'Final Model'!D5</f>
        <v>2023</v>
      </c>
      <c r="E106" s="36">
        <f>'Final Model'!E5</f>
        <v>2024</v>
      </c>
      <c r="F106" s="36">
        <f>'Final Model'!F5</f>
        <v>2025</v>
      </c>
      <c r="G106" s="36">
        <f>'Final Model'!G5</f>
        <v>2026</v>
      </c>
      <c r="H106" s="36">
        <f>'Final Model'!H5</f>
        <v>2027</v>
      </c>
    </row>
    <row r="107" spans="1:8" ht="5.0999999999999996" customHeight="1" x14ac:dyDescent="0.2">
      <c r="A107" s="15"/>
      <c r="B107" s="6"/>
      <c r="C107" s="6"/>
    </row>
    <row r="108" spans="1:8" x14ac:dyDescent="0.2">
      <c r="A108" s="1" t="s">
        <v>56</v>
      </c>
      <c r="B108" s="32"/>
      <c r="C108" s="32"/>
      <c r="D108" s="8">
        <f>C38</f>
        <v>2000</v>
      </c>
      <c r="E108" s="8">
        <f ca="1">D38</f>
        <v>1968.560319480679</v>
      </c>
      <c r="F108" s="8">
        <f ca="1">E38</f>
        <v>3325.7763870559793</v>
      </c>
      <c r="G108" s="8">
        <f ca="1">F38</f>
        <v>4816.8140613888136</v>
      </c>
      <c r="H108" s="8">
        <f ca="1">G38</f>
        <v>6502.4555031549262</v>
      </c>
    </row>
    <row r="109" spans="1:8" x14ac:dyDescent="0.2">
      <c r="A109" s="1" t="s">
        <v>57</v>
      </c>
      <c r="B109" s="32"/>
      <c r="C109" s="32"/>
      <c r="D109" s="8">
        <f ca="1">D87+D92</f>
        <v>5343.8284262151137</v>
      </c>
      <c r="E109" s="8">
        <f ca="1">E87+E92</f>
        <v>5857.2160675753003</v>
      </c>
      <c r="F109" s="8">
        <f ca="1">F87+F92</f>
        <v>6491.0376743328343</v>
      </c>
      <c r="G109" s="8">
        <f ca="1">G87+G92</f>
        <v>7185.6414417661126</v>
      </c>
      <c r="H109" s="8">
        <f ca="1">H87+H92</f>
        <v>7947.1055859427252</v>
      </c>
    </row>
    <row r="110" spans="1:8" x14ac:dyDescent="0.2">
      <c r="A110" s="1" t="s">
        <v>90</v>
      </c>
      <c r="B110" s="32"/>
      <c r="C110" s="32"/>
      <c r="D110" s="8">
        <f>D95</f>
        <v>-500</v>
      </c>
      <c r="E110" s="8">
        <f t="shared" ref="E110:H110" si="32">E95</f>
        <v>-500</v>
      </c>
      <c r="F110" s="8">
        <f t="shared" si="32"/>
        <v>-500</v>
      </c>
      <c r="G110" s="8">
        <f t="shared" si="32"/>
        <v>-500</v>
      </c>
      <c r="H110" s="8">
        <f t="shared" si="32"/>
        <v>-500</v>
      </c>
    </row>
    <row r="111" spans="1:8" x14ac:dyDescent="0.2">
      <c r="A111" s="1" t="s">
        <v>58</v>
      </c>
      <c r="B111" s="32"/>
      <c r="C111" s="32"/>
      <c r="D111" s="69">
        <v>2000</v>
      </c>
      <c r="E111" s="69">
        <v>2000</v>
      </c>
      <c r="F111" s="69">
        <v>2000</v>
      </c>
      <c r="G111" s="69">
        <v>2000</v>
      </c>
      <c r="H111" s="69">
        <v>2000</v>
      </c>
    </row>
    <row r="112" spans="1:8" x14ac:dyDescent="0.2">
      <c r="A112" s="5" t="s">
        <v>87</v>
      </c>
      <c r="B112" s="50"/>
      <c r="C112" s="50"/>
      <c r="D112" s="7">
        <f ca="1">SUM(D108:D110)-D111</f>
        <v>4843.8284262151137</v>
      </c>
      <c r="E112" s="7">
        <f ca="1">SUM(E108:E110)-E111</f>
        <v>5325.7763870559793</v>
      </c>
      <c r="F112" s="7">
        <f ca="1">SUM(F108:F110)-F111</f>
        <v>7316.8140613888136</v>
      </c>
      <c r="G112" s="7">
        <f ca="1">SUM(G108:G110)-G111</f>
        <v>9502.4555031549262</v>
      </c>
      <c r="H112" s="7">
        <f ca="1">SUM(H108:H110)-H111</f>
        <v>11949.561089097651</v>
      </c>
    </row>
    <row r="113" spans="1:8" ht="11.25" customHeight="1" thickBot="1" x14ac:dyDescent="0.25">
      <c r="A113" s="31" t="s">
        <v>48</v>
      </c>
      <c r="B113" s="30">
        <f>B51</f>
        <v>792</v>
      </c>
      <c r="C113" s="30">
        <f>C51</f>
        <v>1375.2681067344347</v>
      </c>
      <c r="D113" s="30">
        <f ca="1">MAX(0,C113-D112)</f>
        <v>0</v>
      </c>
      <c r="E113" s="30">
        <f ca="1">MAX(0,D113-E112)</f>
        <v>0</v>
      </c>
      <c r="F113" s="30">
        <f ca="1">MAX(0,E113-F112)</f>
        <v>0</v>
      </c>
      <c r="G113" s="30">
        <f ca="1">MAX(0,F113-G112)</f>
        <v>0</v>
      </c>
      <c r="H113" s="30">
        <f ca="1">MAX(0,G113-H112)</f>
        <v>0</v>
      </c>
    </row>
    <row r="114" spans="1:8" ht="5.0999999999999996" customHeight="1" x14ac:dyDescent="0.2">
      <c r="A114" s="4"/>
      <c r="B114" s="7"/>
      <c r="C114" s="7"/>
      <c r="D114" s="7"/>
      <c r="E114" s="7"/>
      <c r="F114" s="7"/>
      <c r="G114" s="7"/>
      <c r="H114" s="7"/>
    </row>
    <row r="115" spans="1:8" x14ac:dyDescent="0.2">
      <c r="A115" s="4" t="s">
        <v>60</v>
      </c>
      <c r="B115" s="7"/>
      <c r="C115" s="7"/>
      <c r="D115" s="7"/>
      <c r="E115" s="7"/>
      <c r="F115" s="7"/>
      <c r="G115" s="7"/>
      <c r="H115" s="7"/>
    </row>
    <row r="116" spans="1:8" ht="5.0999999999999996" customHeight="1" x14ac:dyDescent="0.2">
      <c r="A116" s="4"/>
      <c r="B116" s="7"/>
      <c r="C116" s="7"/>
      <c r="D116" s="7"/>
      <c r="E116" s="7"/>
      <c r="F116" s="7"/>
      <c r="G116" s="7"/>
      <c r="H116" s="7"/>
    </row>
    <row r="117" spans="1:8" x14ac:dyDescent="0.2">
      <c r="A117" s="1" t="s">
        <v>40</v>
      </c>
      <c r="B117" s="8">
        <f>B56</f>
        <v>5000</v>
      </c>
      <c r="C117" s="8">
        <f>C56</f>
        <v>4500</v>
      </c>
      <c r="D117" s="8">
        <f>C117-D118</f>
        <v>4000</v>
      </c>
      <c r="E117" s="8">
        <f t="shared" ref="E117:H117" si="33">D117-E118</f>
        <v>3500</v>
      </c>
      <c r="F117" s="8">
        <f t="shared" si="33"/>
        <v>3000</v>
      </c>
      <c r="G117" s="8">
        <f t="shared" si="33"/>
        <v>2500</v>
      </c>
      <c r="H117" s="8">
        <f t="shared" si="33"/>
        <v>2000</v>
      </c>
    </row>
    <row r="118" spans="1:8" x14ac:dyDescent="0.2">
      <c r="A118" s="1" t="s">
        <v>59</v>
      </c>
      <c r="B118" s="8">
        <f>B52</f>
        <v>500</v>
      </c>
      <c r="C118" s="8">
        <f>C52</f>
        <v>500</v>
      </c>
      <c r="D118" s="8">
        <f>C118</f>
        <v>500</v>
      </c>
      <c r="E118" s="8">
        <f t="shared" ref="E118:H118" si="34">D118</f>
        <v>500</v>
      </c>
      <c r="F118" s="8">
        <f t="shared" si="34"/>
        <v>500</v>
      </c>
      <c r="G118" s="8">
        <f t="shared" si="34"/>
        <v>500</v>
      </c>
      <c r="H118" s="8">
        <f t="shared" si="34"/>
        <v>500</v>
      </c>
    </row>
    <row r="119" spans="1:8" ht="5.0999999999999996" customHeight="1" x14ac:dyDescent="0.2">
      <c r="B119" s="7"/>
      <c r="C119" s="7"/>
      <c r="D119" s="7"/>
      <c r="E119" s="7"/>
      <c r="F119" s="7"/>
      <c r="G119" s="7"/>
      <c r="H119" s="7"/>
    </row>
    <row r="120" spans="1:8" x14ac:dyDescent="0.2">
      <c r="A120" s="4" t="s">
        <v>3</v>
      </c>
      <c r="B120" s="42"/>
      <c r="C120" s="42"/>
      <c r="D120" s="42"/>
      <c r="E120" s="42"/>
      <c r="F120" s="42"/>
      <c r="G120" s="42"/>
      <c r="H120" s="42"/>
    </row>
    <row r="121" spans="1:8" ht="5.0999999999999996" customHeight="1" x14ac:dyDescent="0.2">
      <c r="B121" s="7"/>
      <c r="C121" s="7"/>
      <c r="D121" s="7"/>
      <c r="E121" s="7"/>
      <c r="F121" s="7"/>
      <c r="G121" s="7"/>
      <c r="H121" s="7"/>
    </row>
    <row r="122" spans="1:8" x14ac:dyDescent="0.2">
      <c r="A122" s="1" t="s">
        <v>61</v>
      </c>
      <c r="B122" s="7"/>
      <c r="C122" s="7"/>
      <c r="D122" s="70">
        <v>0.08</v>
      </c>
      <c r="E122" s="70">
        <v>0.08</v>
      </c>
      <c r="F122" s="70">
        <v>0.08</v>
      </c>
      <c r="G122" s="70">
        <v>0.08</v>
      </c>
      <c r="H122" s="70">
        <v>0.08</v>
      </c>
    </row>
    <row r="123" spans="1:8" x14ac:dyDescent="0.2">
      <c r="A123" s="1" t="s">
        <v>62</v>
      </c>
      <c r="B123" s="7"/>
      <c r="C123" s="7"/>
      <c r="D123" s="70">
        <v>0.05</v>
      </c>
      <c r="E123" s="70">
        <v>0.05</v>
      </c>
      <c r="F123" s="70">
        <v>0.05</v>
      </c>
      <c r="G123" s="70">
        <v>0.05</v>
      </c>
      <c r="H123" s="70">
        <v>0.05</v>
      </c>
    </row>
    <row r="124" spans="1:8" ht="5.0999999999999996" customHeight="1" x14ac:dyDescent="0.2">
      <c r="A124" s="1"/>
      <c r="B124" s="7"/>
      <c r="C124" s="7"/>
      <c r="D124" s="7"/>
      <c r="E124" s="7"/>
      <c r="F124" s="7"/>
      <c r="G124" s="7"/>
      <c r="H124" s="7"/>
    </row>
    <row r="125" spans="1:8" x14ac:dyDescent="0.2">
      <c r="A125" s="1" t="s">
        <v>63</v>
      </c>
      <c r="B125" s="7"/>
      <c r="C125" s="7"/>
      <c r="D125" s="8">
        <f>AVERAGE(SUM(C117:C118),SUM(D117:D118))*D122</f>
        <v>380</v>
      </c>
      <c r="E125" s="8">
        <f t="shared" ref="E125:H125" si="35">AVERAGE(SUM(D117:D118),SUM(E117:E118))*E122</f>
        <v>340</v>
      </c>
      <c r="F125" s="8">
        <f t="shared" si="35"/>
        <v>300</v>
      </c>
      <c r="G125" s="8">
        <f t="shared" si="35"/>
        <v>260</v>
      </c>
      <c r="H125" s="8">
        <f t="shared" si="35"/>
        <v>220</v>
      </c>
    </row>
    <row r="126" spans="1:8" x14ac:dyDescent="0.2">
      <c r="A126" s="1" t="s">
        <v>64</v>
      </c>
      <c r="B126" s="7"/>
      <c r="C126" s="7"/>
      <c r="D126" s="8">
        <f ca="1">AVERAGE(C113:D113)*D123</f>
        <v>34.381702668360866</v>
      </c>
      <c r="E126" s="8">
        <f ca="1">AVERAGE(D113:E113)*E123</f>
        <v>0</v>
      </c>
      <c r="F126" s="8">
        <f ca="1">AVERAGE(E113:F113)*F123</f>
        <v>0</v>
      </c>
      <c r="G126" s="8">
        <f ca="1">AVERAGE(F113:G113)*G123</f>
        <v>0</v>
      </c>
      <c r="H126" s="8">
        <f ca="1">AVERAGE(G113:H113)*H123</f>
        <v>0</v>
      </c>
    </row>
    <row r="127" spans="1:8" ht="5.0999999999999996" customHeight="1" x14ac:dyDescent="0.2">
      <c r="B127" s="7"/>
      <c r="C127" s="7"/>
      <c r="D127" s="7"/>
      <c r="E127" s="7"/>
      <c r="F127" s="7"/>
      <c r="G127" s="7"/>
      <c r="H127" s="7"/>
    </row>
    <row r="128" spans="1:8" ht="10.8" thickBot="1" x14ac:dyDescent="0.25">
      <c r="A128" s="31" t="s">
        <v>65</v>
      </c>
      <c r="B128" s="30"/>
      <c r="C128" s="30"/>
      <c r="D128" s="30">
        <f ca="1">SUM(D125:D126)</f>
        <v>414.38170266836084</v>
      </c>
      <c r="E128" s="30">
        <f ca="1">SUM(E125:E126)</f>
        <v>340</v>
      </c>
      <c r="F128" s="30">
        <f ca="1">SUM(F125:F126)</f>
        <v>300</v>
      </c>
      <c r="G128" s="30">
        <f ca="1">SUM(G125:G126)</f>
        <v>260</v>
      </c>
      <c r="H128" s="30">
        <f ca="1">SUM(H125:H126)</f>
        <v>220</v>
      </c>
    </row>
    <row r="129" spans="1:9" x14ac:dyDescent="0.2">
      <c r="B129" s="7"/>
      <c r="C129" s="7"/>
      <c r="D129" s="7"/>
      <c r="E129" s="7"/>
      <c r="F129" s="7"/>
      <c r="G129" s="7"/>
      <c r="H129" s="7"/>
    </row>
    <row r="130" spans="1:9" x14ac:dyDescent="0.2">
      <c r="A130" s="35" t="s">
        <v>67</v>
      </c>
      <c r="B130" s="36">
        <f t="shared" ref="B130:H130" si="36">B106</f>
        <v>2021</v>
      </c>
      <c r="C130" s="36">
        <f t="shared" si="36"/>
        <v>2022</v>
      </c>
      <c r="D130" s="36">
        <f t="shared" si="36"/>
        <v>2023</v>
      </c>
      <c r="E130" s="36">
        <f t="shared" si="36"/>
        <v>2024</v>
      </c>
      <c r="F130" s="36">
        <f t="shared" si="36"/>
        <v>2025</v>
      </c>
      <c r="G130" s="36">
        <f t="shared" si="36"/>
        <v>2026</v>
      </c>
      <c r="H130" s="36">
        <f t="shared" si="36"/>
        <v>2027</v>
      </c>
    </row>
    <row r="131" spans="1:9" ht="5.0999999999999996" customHeight="1" x14ac:dyDescent="0.2">
      <c r="A131" s="4"/>
      <c r="B131" s="6"/>
      <c r="C131" s="6"/>
      <c r="D131" s="6"/>
      <c r="E131" s="6"/>
      <c r="F131" s="6"/>
      <c r="G131" s="6"/>
      <c r="H131" s="6"/>
    </row>
    <row r="132" spans="1:9" x14ac:dyDescent="0.2">
      <c r="A132" s="33" t="s">
        <v>70</v>
      </c>
      <c r="B132" s="8"/>
      <c r="C132" s="8"/>
      <c r="D132" s="7">
        <f>C45</f>
        <v>10932</v>
      </c>
      <c r="E132" s="7">
        <f>D138</f>
        <v>11159.213165529469</v>
      </c>
      <c r="F132" s="7">
        <f t="shared" ref="F132:H132" si="37">E138</f>
        <v>11559.147647611884</v>
      </c>
      <c r="G132" s="7">
        <f t="shared" si="37"/>
        <v>12099.07557790254</v>
      </c>
      <c r="H132" s="7">
        <f t="shared" si="37"/>
        <v>12742.996301222263</v>
      </c>
    </row>
    <row r="133" spans="1:9" x14ac:dyDescent="0.2">
      <c r="A133" t="s">
        <v>68</v>
      </c>
      <c r="B133" s="12"/>
      <c r="C133" s="12"/>
      <c r="D133" s="69">
        <v>3500</v>
      </c>
      <c r="E133" s="69">
        <f>D133+500</f>
        <v>4000</v>
      </c>
      <c r="F133" s="69">
        <f t="shared" ref="F133:H133" si="38">E133+500</f>
        <v>4500</v>
      </c>
      <c r="G133" s="69">
        <f t="shared" si="38"/>
        <v>5000</v>
      </c>
      <c r="H133" s="69">
        <f t="shared" si="38"/>
        <v>5500</v>
      </c>
      <c r="I133" s="71"/>
    </row>
    <row r="134" spans="1:9" ht="5.0999999999999996" customHeight="1" x14ac:dyDescent="0.2">
      <c r="B134" s="12"/>
      <c r="C134" s="12"/>
      <c r="D134" s="37"/>
      <c r="E134" s="37"/>
      <c r="F134" s="37"/>
      <c r="G134" s="37"/>
      <c r="H134" s="37"/>
    </row>
    <row r="135" spans="1:9" x14ac:dyDescent="0.2">
      <c r="A135" t="s">
        <v>69</v>
      </c>
      <c r="B135" s="46" t="s">
        <v>86</v>
      </c>
      <c r="C135" s="45"/>
      <c r="D135" s="7">
        <f>D7*D136</f>
        <v>3272.7868344705316</v>
      </c>
      <c r="E135" s="7">
        <f t="shared" ref="E135:H135" si="39">E7*E136</f>
        <v>3600.0655179175851</v>
      </c>
      <c r="F135" s="7">
        <f t="shared" si="39"/>
        <v>3960.0720697093434</v>
      </c>
      <c r="G135" s="7">
        <f t="shared" si="39"/>
        <v>4356.0792766802788</v>
      </c>
      <c r="H135" s="7">
        <f t="shared" si="39"/>
        <v>4791.6872043483063</v>
      </c>
    </row>
    <row r="136" spans="1:9" s="3" customFormat="1" x14ac:dyDescent="0.2">
      <c r="A136" s="2" t="s">
        <v>66</v>
      </c>
      <c r="B136" s="41">
        <f>B31/B7</f>
        <v>3.5566539515392466E-2</v>
      </c>
      <c r="C136" s="41">
        <f>C31/C7</f>
        <v>3.5704019546782928E-2</v>
      </c>
      <c r="D136" s="41">
        <f>AVERAGE($B$136:$C$136)</f>
        <v>3.5635279531087694E-2</v>
      </c>
      <c r="E136" s="41">
        <f t="shared" ref="E136:H136" si="40">AVERAGE($B$136:$C$136)</f>
        <v>3.5635279531087694E-2</v>
      </c>
      <c r="F136" s="41">
        <f t="shared" si="40"/>
        <v>3.5635279531087694E-2</v>
      </c>
      <c r="G136" s="41">
        <f t="shared" si="40"/>
        <v>3.5635279531087694E-2</v>
      </c>
      <c r="H136" s="41">
        <f t="shared" si="40"/>
        <v>3.5635279531087694E-2</v>
      </c>
    </row>
    <row r="137" spans="1:9" ht="5.0999999999999996" customHeight="1" x14ac:dyDescent="0.2">
      <c r="B137" s="7"/>
      <c r="C137" s="7"/>
      <c r="D137" s="7"/>
      <c r="E137" s="7"/>
      <c r="F137" s="7"/>
      <c r="G137" s="7"/>
      <c r="H137" s="7"/>
    </row>
    <row r="138" spans="1:9" ht="10.8" thickBot="1" x14ac:dyDescent="0.25">
      <c r="A138" s="28" t="s">
        <v>71</v>
      </c>
      <c r="B138" s="30"/>
      <c r="C138" s="30"/>
      <c r="D138" s="30">
        <f>D132+D133-D135</f>
        <v>11159.213165529469</v>
      </c>
      <c r="E138" s="30">
        <f t="shared" ref="E138:H138" si="41">E132+E133-E135</f>
        <v>11559.147647611884</v>
      </c>
      <c r="F138" s="30">
        <f t="shared" si="41"/>
        <v>12099.07557790254</v>
      </c>
      <c r="G138" s="30">
        <f t="shared" si="41"/>
        <v>12742.996301222263</v>
      </c>
      <c r="H138" s="30">
        <f t="shared" si="41"/>
        <v>13451.30909687396</v>
      </c>
    </row>
    <row r="142" spans="1:9" x14ac:dyDescent="0.2">
      <c r="A142" s="4"/>
    </row>
  </sheetData>
  <printOptions horizontalCentered="1"/>
  <pageMargins left="0.7" right="0.7" top="0.75" bottom="0.75" header="0.3" footer="0.3"/>
  <pageSetup paperSize="5" scale="78" orientation="portrait" r:id="rId1"/>
  <rowBreaks count="1" manualBreakCount="1">
    <brk id="7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Income Statement</vt:lpstr>
      <vt:lpstr>Balance Sheet</vt:lpstr>
      <vt:lpstr>Assumptions</vt:lpstr>
      <vt:lpstr>Final Model</vt:lpstr>
      <vt:lpstr>'Balance Sheet'!Print_Area</vt:lpstr>
      <vt:lpstr>'Final Model'!Print_Area</vt:lpstr>
      <vt:lpstr>'Income Statement'!Print_Area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Lynch</dc:creator>
  <cp:lastModifiedBy>Joel Gonsalves</cp:lastModifiedBy>
  <cp:lastPrinted>2012-09-27T15:56:07Z</cp:lastPrinted>
  <dcterms:created xsi:type="dcterms:W3CDTF">2011-09-01T22:41:33Z</dcterms:created>
  <dcterms:modified xsi:type="dcterms:W3CDTF">2026-04-01T19:05:16Z</dcterms:modified>
</cp:coreProperties>
</file>